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ranpise/Desktop/Data Analyst/Modules/Advanced Excel/Day 3 - Aggregate Functions/"/>
    </mc:Choice>
  </mc:AlternateContent>
  <xr:revisionPtr revIDLastSave="0" documentId="13_ncr:1_{4AD01E6C-0CEA-534E-909E-D678684E6417}" xr6:coauthVersionLast="47" xr6:coauthVersionMax="47" xr10:uidLastSave="{00000000-0000-0000-0000-000000000000}"/>
  <bookViews>
    <workbookView xWindow="0" yWindow="0" windowWidth="28800" windowHeight="18000" activeTab="1" xr2:uid="{BB0FE89C-6730-5146-B27E-19CD70641148}"/>
  </bookViews>
  <sheets>
    <sheet name="ipl_comprehensive_dataset" sheetId="1" r:id="rId1"/>
    <sheet name="Aggregate functions" sheetId="2" r:id="rId2"/>
    <sheet name="IF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L3" i="3"/>
  <c r="L4" i="3"/>
  <c r="L5" i="3"/>
  <c r="L6" i="3"/>
  <c r="L7" i="3"/>
  <c r="L8" i="3"/>
  <c r="L9" i="3"/>
  <c r="L10" i="3"/>
  <c r="L11" i="3"/>
  <c r="L12" i="3"/>
  <c r="L13" i="3"/>
  <c r="L14" i="3"/>
  <c r="L16" i="3"/>
  <c r="L17" i="3"/>
  <c r="L18" i="3"/>
  <c r="L19" i="3"/>
  <c r="L20" i="3"/>
  <c r="L21" i="3"/>
  <c r="L22" i="3"/>
  <c r="L2" i="3"/>
  <c r="L27" i="3"/>
  <c r="L26" i="3"/>
  <c r="O27" i="3"/>
  <c r="O26" i="3"/>
  <c r="D29" i="3"/>
  <c r="C29" i="3"/>
  <c r="K27" i="3"/>
  <c r="N27" i="3"/>
  <c r="N26" i="3"/>
  <c r="K26" i="3"/>
  <c r="K22" i="3"/>
  <c r="K21" i="3"/>
  <c r="K20" i="3"/>
  <c r="K19" i="3"/>
  <c r="K18" i="3"/>
  <c r="K17" i="3"/>
  <c r="K16" i="3"/>
  <c r="K14" i="3"/>
  <c r="K13" i="3"/>
  <c r="K12" i="3"/>
  <c r="K10" i="3"/>
  <c r="K11" i="3"/>
  <c r="K9" i="3"/>
  <c r="K8" i="3"/>
  <c r="K7" i="3"/>
  <c r="K6" i="3"/>
  <c r="K5" i="3"/>
  <c r="K4" i="3"/>
  <c r="K3" i="3"/>
  <c r="K2" i="3"/>
  <c r="K12" i="2"/>
  <c r="K10" i="2"/>
  <c r="K8" i="2"/>
  <c r="H15" i="2"/>
  <c r="H13" i="2"/>
  <c r="F25" i="2"/>
  <c r="F24" i="2"/>
  <c r="F23" i="2"/>
  <c r="F22" i="2"/>
  <c r="F21" i="2"/>
  <c r="F20" i="2"/>
  <c r="F19" i="2"/>
  <c r="F18" i="2"/>
  <c r="F17" i="2"/>
  <c r="F16" i="2"/>
  <c r="F15" i="2"/>
  <c r="F14" i="2"/>
  <c r="C8" i="2"/>
  <c r="F8" i="2"/>
  <c r="F7" i="2"/>
  <c r="C7" i="2"/>
  <c r="C5" i="2"/>
</calcChain>
</file>

<file path=xl/sharedStrings.xml><?xml version="1.0" encoding="utf-8"?>
<sst xmlns="http://schemas.openxmlformats.org/spreadsheetml/2006/main" count="25329" uniqueCount="3178">
  <si>
    <t>event_name</t>
  </si>
  <si>
    <t>season</t>
  </si>
  <si>
    <t>match_number</t>
  </si>
  <si>
    <t>date</t>
  </si>
  <si>
    <t>city</t>
  </si>
  <si>
    <t>venue</t>
  </si>
  <si>
    <t>team1</t>
  </si>
  <si>
    <t>team2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</si>
  <si>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</si>
  <si>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</si>
  <si>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</si>
  <si>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</si>
  <si>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</si>
  <si>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</si>
  <si>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</si>
  <si>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result_type</t>
  </si>
  <si>
    <t>win_by_runs</t>
  </si>
  <si>
    <t>win_by_wickets</t>
  </si>
  <si>
    <t>player_of_match</t>
  </si>
  <si>
    <t>match_referee</t>
  </si>
  <si>
    <t>umpire1</t>
  </si>
  <si>
    <t>umpire2</t>
  </si>
  <si>
    <t>tv_umpire</t>
  </si>
  <si>
    <t>reserve_umpire</t>
  </si>
  <si>
    <t>match_type</t>
  </si>
  <si>
    <t>overs_limit</t>
  </si>
  <si>
    <t>balls_per_over</t>
  </si>
  <si>
    <t>gender</t>
  </si>
  <si>
    <t>team_type</t>
  </si>
  <si>
    <t>team1_players</t>
  </si>
  <si>
    <t>team2_players</t>
  </si>
  <si>
    <t>Indian Premier League</t>
  </si>
  <si>
    <t>2007/08</t>
  </si>
  <si>
    <t>Bangalore</t>
  </si>
  <si>
    <t>M Chinnaswamy Stadium</t>
  </si>
  <si>
    <t>Royal Challengers Bangalore</t>
  </si>
  <si>
    <t>Kolkata Knight Riders</t>
  </si>
  <si>
    <t>field</t>
  </si>
  <si>
    <t>complete</t>
  </si>
  <si>
    <t>BB McCullum</t>
  </si>
  <si>
    <t>J Srinath</t>
  </si>
  <si>
    <t>Asad Rauf</t>
  </si>
  <si>
    <t>RE Koertzen</t>
  </si>
  <si>
    <t>AM Saheba</t>
  </si>
  <si>
    <t>VN Kulkarni</t>
  </si>
  <si>
    <t>T20</t>
  </si>
  <si>
    <t>male</t>
  </si>
  <si>
    <t>club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</si>
  <si>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</si>
  <si>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</si>
  <si>
    <t>Chandigarh</t>
  </si>
  <si>
    <t>Punjab Cricket Association Stadium, Mohali</t>
  </si>
  <si>
    <t>Kings XI Punjab</t>
  </si>
  <si>
    <t>Chennai Super Kings</t>
  </si>
  <si>
    <t>bat</t>
  </si>
  <si>
    <t>MEK Hussey</t>
  </si>
  <si>
    <t>S Venkataraghavan</t>
  </si>
  <si>
    <t>MR Benson</t>
  </si>
  <si>
    <t>SL Shastri</t>
  </si>
  <si>
    <t>RB Tiffin</t>
  </si>
  <si>
    <t>MSS Ranawat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</si>
  <si>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</si>
  <si>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</si>
  <si>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Delhi</t>
  </si>
  <si>
    <t>Feroz Shah Kotla</t>
  </si>
  <si>
    <t>Delhi Daredevils</t>
  </si>
  <si>
    <t>Rajasthan Royals</t>
  </si>
  <si>
    <t>MF Maharoof</t>
  </si>
  <si>
    <t>GR Viswanath</t>
  </si>
  <si>
    <t>Aleem Dar</t>
  </si>
  <si>
    <t>GA Pratapkumar</t>
  </si>
  <si>
    <t>IL Howell</t>
  </si>
  <si>
    <t>Unknown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</si>
  <si>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</si>
  <si>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</si>
  <si>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Kolkata</t>
  </si>
  <si>
    <t>Eden Gardens</t>
  </si>
  <si>
    <t>Deccan Chargers</t>
  </si>
  <si>
    <t>DJ Hussey</t>
  </si>
  <si>
    <t>FM Engineer</t>
  </si>
  <si>
    <t>BF Bowden</t>
  </si>
  <si>
    <t>K Hariharan</t>
  </si>
  <si>
    <t>F Gomes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</si>
  <si>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</si>
  <si>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</si>
  <si>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Mumbai</t>
  </si>
  <si>
    <t>Wankhede Stadium</t>
  </si>
  <si>
    <t>Mumbai Indians</t>
  </si>
  <si>
    <t>MV Boucher</t>
  </si>
  <si>
    <t>SJ Davis</t>
  </si>
  <si>
    <t>DJ Harper</t>
  </si>
  <si>
    <t>AV Jayaprakash</t>
  </si>
  <si>
    <t>SN Bandekar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</si>
  <si>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</si>
  <si>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</si>
  <si>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Jaipur</t>
  </si>
  <si>
    <t>Sawai Mansingh Stadium</t>
  </si>
  <si>
    <t>SR Watson</t>
  </si>
  <si>
    <t>I Shivram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</si>
  <si>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</si>
  <si>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</si>
  <si>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Hyderabad</t>
  </si>
  <si>
    <t>Rajiv Gandhi International Stadium, Uppal</t>
  </si>
  <si>
    <t>V Sehwag</t>
  </si>
  <si>
    <t>Talat Ali</t>
  </si>
  <si>
    <t>C Shamshuddin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</si>
  <si>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</si>
  <si>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</si>
  <si>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Chennai</t>
  </si>
  <si>
    <t>MA Chidambaram Stadium, Chepauk</t>
  </si>
  <si>
    <t>ML Hayden</t>
  </si>
  <si>
    <t>S Ravi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</si>
  <si>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</si>
  <si>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</si>
  <si>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YK Pathan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</si>
  <si>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</si>
  <si>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</si>
  <si>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KC Sangakkara</t>
  </si>
  <si>
    <t>HS Sekhon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</si>
  <si>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</si>
  <si>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</si>
  <si>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</si>
  <si>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</si>
  <si>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</si>
  <si>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SK Tarapore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</si>
  <si>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</si>
  <si>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</si>
  <si>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SM Katich</t>
  </si>
  <si>
    <t>MS Mahal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</si>
  <si>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</si>
  <si>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</si>
  <si>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Dr DY Patil Sports Academy</t>
  </si>
  <si>
    <t>AC Gilchrist</t>
  </si>
  <si>
    <t>VD Nerurkar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</si>
  <si>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</si>
  <si>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</si>
  <si>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MS Dhoni</t>
  </si>
  <si>
    <t>BR Doctrove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</si>
  <si>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</si>
  <si>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</si>
  <si>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ST Jayasuriya</t>
  </si>
  <si>
    <t>SK Porel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</si>
  <si>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</si>
  <si>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</si>
  <si>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GD McGrath</t>
  </si>
  <si>
    <t>CH Lloyd</t>
  </si>
  <si>
    <t>AK Chaudhary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</si>
  <si>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</si>
  <si>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</si>
  <si>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</si>
  <si>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</si>
  <si>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</si>
  <si>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SE Marsh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</si>
  <si>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</si>
  <si>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</si>
  <si>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</si>
  <si>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</si>
  <si>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P Kumar</t>
  </si>
  <si>
    <t>CK Nandan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</si>
  <si>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</si>
  <si>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</si>
  <si>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IK Pathan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</si>
  <si>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</si>
  <si>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</si>
  <si>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SM Pollock</t>
  </si>
  <si>
    <t>UL Dubey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</si>
  <si>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</si>
  <si>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</si>
  <si>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Sohail Tanvir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</si>
  <si>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</si>
  <si>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</si>
  <si>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</si>
  <si>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</si>
  <si>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</si>
  <si>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K Srinivasan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</si>
  <si>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</si>
  <si>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</si>
  <si>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A Nehra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</si>
  <si>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</si>
  <si>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</si>
  <si>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</si>
  <si>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</si>
  <si>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SC Ganguly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</si>
  <si>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</si>
  <si>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</si>
  <si>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</si>
  <si>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</si>
  <si>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L Balaji</t>
  </si>
  <si>
    <t>BG Jerling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</si>
  <si>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</si>
  <si>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</si>
  <si>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</si>
  <si>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</si>
  <si>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</si>
  <si>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</si>
  <si>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Jasbir Singh</t>
  </si>
  <si>
    <t>SE Marsh, JR Hopes, LA Pomersbach, Yuvraj Singh, DPMD Jayawardene, IK Pathan, TM Srivastava, PP Chawla, U Kaul, S Sreesanth, VRV Singh</t>
  </si>
  <si>
    <t>J Arunkumar, V Kohli, Misbah-ul-Haq, CL White, R Dravid, MV Boucher, P Kumar, R Vinay Kumar, Z Khan, A Kumble, DW Steyn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</si>
  <si>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</si>
  <si>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</si>
  <si>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</si>
  <si>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RM Deshpande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</si>
  <si>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</si>
  <si>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</si>
  <si>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A Mishra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</si>
  <si>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</si>
  <si>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</si>
  <si>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</si>
  <si>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</si>
  <si>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GC Smith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</si>
  <si>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</si>
  <si>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</si>
  <si>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DPMD Jayawardene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</si>
  <si>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</si>
  <si>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</si>
  <si>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M Ntini</t>
  </si>
  <si>
    <t>S Banerjee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</si>
  <si>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</si>
  <si>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</si>
  <si>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DJ Bravo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</si>
  <si>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</si>
  <si>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</si>
  <si>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</si>
  <si>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</si>
  <si>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</si>
  <si>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AK Mitra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</si>
  <si>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</si>
  <si>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</si>
  <si>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ST Jayasuriya, SR Tendulkar, DR Smith, AM Nayar, RV Uthappa, SM Pollock, PR Shah, SD Chitnis, CRD Fernando, A Nehra, VS Yeligati</t>
  </si>
  <si>
    <t>A Kumble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</si>
  <si>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</si>
  <si>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</si>
  <si>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</si>
  <si>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</si>
  <si>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JA Morkel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</si>
  <si>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</si>
  <si>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</si>
  <si>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KD Karthik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</si>
  <si>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</si>
  <si>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</si>
  <si>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R Vinay Kumar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</si>
  <si>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</si>
  <si>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</si>
  <si>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</si>
  <si>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</si>
  <si>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</si>
  <si>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</si>
  <si>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</si>
  <si>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SK Raina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</si>
  <si>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</si>
  <si>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</si>
  <si>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</si>
  <si>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</si>
  <si>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</si>
  <si>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</si>
  <si>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</si>
  <si>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N/A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</si>
  <si>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</si>
  <si>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</si>
  <si>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</si>
  <si>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</si>
  <si>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MR Singh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</si>
  <si>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</si>
  <si>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</si>
  <si>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Cape Town</t>
  </si>
  <si>
    <t>Newlands</t>
  </si>
  <si>
    <t>SR Tendulkar</t>
  </si>
  <si>
    <t>EC Hendrikse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</si>
  <si>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</si>
  <si>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</si>
  <si>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R Dravid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</si>
  <si>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</si>
  <si>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</si>
  <si>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DL Vettori</t>
  </si>
  <si>
    <t>Yashpal Sharma</t>
  </si>
  <si>
    <t>SD Ranade</t>
  </si>
  <si>
    <t>AL Hill</t>
  </si>
  <si>
    <t>MW Brown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</si>
  <si>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</si>
  <si>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</si>
  <si>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</si>
  <si>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</si>
  <si>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</si>
  <si>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Port Elizabeth</t>
  </si>
  <si>
    <t>St George's Park</t>
  </si>
  <si>
    <t>M Muralitharan</t>
  </si>
  <si>
    <t>SJA Taufel</t>
  </si>
  <si>
    <t>S George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</si>
  <si>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</si>
  <si>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</si>
  <si>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Durban</t>
  </si>
  <si>
    <t>Kingsmead</t>
  </si>
  <si>
    <t>CH Gayle</t>
  </si>
  <si>
    <t>D Govindjee</t>
  </si>
  <si>
    <t>TH Wijewardene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</si>
  <si>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</si>
  <si>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</si>
  <si>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M Erasmus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</si>
  <si>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</si>
  <si>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</si>
  <si>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AB de Villiers</t>
  </si>
  <si>
    <t>ZTA Ndamane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</si>
  <si>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</si>
  <si>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</si>
  <si>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None</t>
  </si>
  <si>
    <t>tie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</si>
  <si>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</si>
  <si>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</si>
  <si>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</si>
  <si>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</si>
  <si>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</si>
  <si>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PP Ojha</t>
  </si>
  <si>
    <t>HDPK Dharmasena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</si>
  <si>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</si>
  <si>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</si>
  <si>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TM Dilshan</t>
  </si>
  <si>
    <t>S Asnani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</si>
  <si>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</si>
  <si>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</si>
  <si>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</si>
  <si>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</si>
  <si>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</si>
  <si>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</si>
  <si>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</si>
  <si>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</si>
  <si>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</si>
  <si>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Centurion</t>
  </si>
  <si>
    <t>SuperSport Park</t>
  </si>
  <si>
    <t>GAV Baxter</t>
  </si>
  <si>
    <t>JD Cloete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</si>
  <si>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</si>
  <si>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</si>
  <si>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JH Kallis, SP Goswami, KP Pietersen, V Kohli, MV Boucher, RE van der Merwe, MK Pandey, P Kumar, Pankaj Singh, A Kumble, KP Appanna</t>
  </si>
  <si>
    <t>BB McCullum, CH Gayle, BJ Hodge, SC Ganguly, MN van Wyk, WP Saha, LR Shukla, AB Agarkar, M Kartik, I Sharma, AB Dinda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</si>
  <si>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</si>
  <si>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</si>
  <si>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</si>
  <si>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</si>
  <si>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</si>
  <si>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</si>
  <si>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</si>
  <si>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East London</t>
  </si>
  <si>
    <t>Buffalo Park</t>
  </si>
  <si>
    <t>JP Duminy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</si>
  <si>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</si>
  <si>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</si>
  <si>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Yuvraj Singh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</si>
  <si>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</si>
  <si>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</si>
  <si>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</si>
  <si>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</si>
  <si>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Johannesburg</t>
  </si>
  <si>
    <t>New Wanderers Stadium</t>
  </si>
  <si>
    <t>SB Jakati</t>
  </si>
  <si>
    <t>SS Hazare</t>
  </si>
  <si>
    <t>KH Hurter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</si>
  <si>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</si>
  <si>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</si>
  <si>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S Sohal, KC Sangakkara, SM Katich, DPMD Jayawardene, Yuvraj Singh, IK Pathan, RR Powar, TM Srivastava, VS Malik, PP Chawla, YA Abdulla</t>
  </si>
  <si>
    <t>JH Kallis</t>
  </si>
  <si>
    <t>JH Kallis, W Jaffer, RV Uthappa, R Dravid, V Kohli, MV Boucher, RE van der Merwe, D du Preez, P Kumar, R Vinay Kumar, A Kumble</t>
  </si>
  <si>
    <t>ST Jayasuriya, SR Tendulkar, AM Rahane, JP Duminy, DJ Bravo, AM Nayar, S Dhawan, PR Shah, Harbhajan Singh, Z Khan, SL Malinga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</si>
  <si>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</si>
  <si>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</si>
  <si>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</si>
  <si>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</si>
  <si>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G Gambhir</t>
  </si>
  <si>
    <t>G Gambhir, DA Warner, TM Dilshan, AB de Villiers, KD Karthik, M Manhas, R Bhatia, A Mishra, PJ Sangwan, A Nehra, DP Nannes</t>
  </si>
  <si>
    <t>MN van Wyk, BB McCullum, BJ Hodge, MC Henriques, WP Saha, SC Ganguly, Yashpal Singh, AB Agarkar, M Kartik, I Sharma, AB Dinda</t>
  </si>
  <si>
    <t>RG Sharma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</si>
  <si>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</si>
  <si>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</si>
  <si>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A Singh</t>
  </si>
  <si>
    <t>GC Smith, NV Ojha, LA Carseldine, YK Pathan, RA Jadeja, AS Raut, NK Patel, SK Warne, M Morkel, MM Patel, A Singh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</si>
  <si>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</si>
  <si>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</si>
  <si>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L Ronchi, JP Duminy, PR Shah, SR Tendulkar, AM Nayar, DJ Bravo, Harbhajan Singh, AM Rahane, RR Raje, DS Kulkarni, SL Malinga</t>
  </si>
  <si>
    <t>Kimberley</t>
  </si>
  <si>
    <t>De Beers Diamond Oval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</si>
  <si>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</si>
  <si>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</si>
  <si>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</si>
  <si>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</si>
  <si>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</si>
  <si>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</si>
  <si>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</si>
  <si>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</si>
  <si>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</si>
  <si>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DR Smith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</si>
  <si>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</si>
  <si>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</si>
  <si>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LRPL Taylor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</si>
  <si>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</si>
  <si>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</si>
  <si>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Harbhajan Singh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</si>
  <si>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</si>
  <si>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</si>
  <si>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</si>
  <si>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</si>
  <si>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</si>
  <si>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</si>
  <si>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</si>
  <si>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SK Warne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</si>
  <si>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</si>
  <si>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</si>
  <si>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Bloemfontein</t>
  </si>
  <si>
    <t>OUTsurance Oval</t>
  </si>
  <si>
    <t>B Lee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</si>
  <si>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</si>
  <si>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</si>
  <si>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</si>
  <si>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</si>
  <si>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</si>
  <si>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</si>
  <si>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AC Gilchrist, HH Gibbs, TL Suman, A Symonds, RG Sharma, Y Venugopal Rao, DB Ravi Teja, RJ Harris, RP Singh, Jaskaran Singh, PP Ojha</t>
  </si>
  <si>
    <t>S Sohal, SM Katich, LA Pomersbach, Yuvraj Singh, KC Sangakkara, WA Mota, IK Pathan, B Lee, PP Chawla, RR Powar, S Sreesanth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</si>
  <si>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</si>
  <si>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</si>
  <si>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BJ Hodge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</si>
  <si>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</si>
  <si>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</si>
  <si>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</si>
  <si>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</si>
  <si>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LR Shukla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</si>
  <si>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</si>
  <si>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</si>
  <si>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GJ Bailey, PA Patel, SK Raina, S Badrinath, MS Dhoni, JDP Oram, MS Gony, R Ashwin, T Thushara, L Balaji, M Muralitharan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</si>
  <si>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</si>
  <si>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</si>
  <si>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MK Pandey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</si>
  <si>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</si>
  <si>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</si>
  <si>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</si>
  <si>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</si>
  <si>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</si>
  <si>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</si>
  <si>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</si>
  <si>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</si>
  <si>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2009/10</t>
  </si>
  <si>
    <t>AD Mathews</t>
  </si>
  <si>
    <t>AJ Pycroft</t>
  </si>
  <si>
    <t>AC Gilchrist, VVS Laxman, HH Gibbs, A Symonds, RG Sharma, Anirudh Singh, TL Suman, WPUJC Vaas, Jaskaran Singh, RP Singh, PP Ojha</t>
  </si>
  <si>
    <t>MK Tiwary, BJ Hodge, SC Ganguly, CA Pujara, OA Shah, AD Mathews, WP Saha, LR Shukla, M Kartik, CK Langeveldt, I Sharma</t>
  </si>
  <si>
    <t>Brabourne Stadium</t>
  </si>
  <si>
    <t>VM Bandiwadekar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</si>
  <si>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</si>
  <si>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</si>
  <si>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</si>
  <si>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</si>
  <si>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MK Tiwary</t>
  </si>
  <si>
    <t>R Shankar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</si>
  <si>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</si>
  <si>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</si>
  <si>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</si>
  <si>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S Das</t>
  </si>
  <si>
    <t>J Madanagopal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</si>
  <si>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</si>
  <si>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</si>
  <si>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Ahmedabad</t>
  </si>
  <si>
    <t>Sardar Patel Stadium, Motera</t>
  </si>
  <si>
    <t>S Dua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</si>
  <si>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</si>
  <si>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</si>
  <si>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KN Ananthapadmanabhan</t>
  </si>
  <si>
    <t>MK Pandey, JH Kallis, RV Uthappa, V Kohli, R Dravid, EJG Morgan, MV Boucher, P Kumar, A Kumble, DW Steyn, R Vinay Kumar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</si>
  <si>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</si>
  <si>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</si>
  <si>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</si>
  <si>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</si>
  <si>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</si>
  <si>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NV Ojha, MJ Lumb, DR Martyn, AA Jhunjhunwala, YK Pathan, P Dogra, S Narwal, SK Warne, M Morkel, MM Patel, SK Trivedi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</si>
  <si>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</si>
  <si>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</si>
  <si>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Cuttack</t>
  </si>
  <si>
    <t>Barabati Stadium</t>
  </si>
  <si>
    <t>A Symonds</t>
  </si>
  <si>
    <t>BK Ravi</t>
  </si>
  <si>
    <t>RS Bopara, MS Bisla, KC Sangakkara, Yuvraj Singh, DPMD Jayawardene, AB Barath, IK Pathan, PP Chawla, Bipul Sharma, S Sreesanth, SJ Srivastava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</si>
  <si>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</si>
  <si>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</si>
  <si>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</si>
  <si>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</si>
  <si>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</si>
  <si>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</si>
  <si>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</si>
  <si>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</si>
  <si>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</si>
  <si>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</si>
  <si>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</si>
  <si>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</si>
  <si>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RV Uthappa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</si>
  <si>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</si>
  <si>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</si>
  <si>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</si>
  <si>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</si>
  <si>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</si>
  <si>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KM Jadhav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</si>
  <si>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</si>
  <si>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</si>
  <si>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Brabourne Stadium, Mumbai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</si>
  <si>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</si>
  <si>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</si>
  <si>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RS Mahanama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</si>
  <si>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</si>
  <si>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</si>
  <si>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</si>
  <si>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</si>
  <si>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</si>
  <si>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</si>
  <si>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</si>
  <si>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</si>
  <si>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</si>
  <si>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DA Warner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</si>
  <si>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</si>
  <si>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</si>
  <si>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SL Malinga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</si>
  <si>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</si>
  <si>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</si>
  <si>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M Vijay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</si>
  <si>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</si>
  <si>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</si>
  <si>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</si>
  <si>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</si>
  <si>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</si>
  <si>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</si>
  <si>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KP Pietersen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</si>
  <si>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</si>
  <si>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</si>
  <si>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</si>
  <si>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</si>
  <si>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AT Rayudu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</si>
  <si>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</si>
  <si>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</si>
  <si>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</si>
  <si>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</si>
  <si>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</si>
  <si>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</si>
  <si>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</si>
  <si>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Nagpur</t>
  </si>
  <si>
    <t>Vidarbha Cricket Association Stadium, Jamtha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</si>
  <si>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</si>
  <si>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</si>
  <si>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</si>
  <si>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</si>
  <si>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MJ Lumb</t>
  </si>
  <si>
    <t>K Sharma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</si>
  <si>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</si>
  <si>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</si>
  <si>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</si>
  <si>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</si>
  <si>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</si>
  <si>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</si>
  <si>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</si>
  <si>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</si>
  <si>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</si>
  <si>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</si>
  <si>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</si>
  <si>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</si>
  <si>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</si>
  <si>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</si>
  <si>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PP Chawla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</si>
  <si>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</si>
  <si>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</si>
  <si>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</si>
  <si>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</si>
  <si>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Harmeet Singh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</si>
  <si>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</si>
  <si>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</si>
  <si>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KA Pollard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</si>
  <si>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</si>
  <si>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</si>
  <si>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R Ashwin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</si>
  <si>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</si>
  <si>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</si>
  <si>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</si>
  <si>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</si>
  <si>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</si>
  <si>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</si>
  <si>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Dharamsala</t>
  </si>
  <si>
    <t>Himachal Pradesh Cricket Association Stadium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</si>
  <si>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</si>
  <si>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</si>
  <si>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</si>
  <si>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</si>
  <si>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</si>
  <si>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JD Unadkat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</si>
  <si>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</si>
  <si>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</si>
  <si>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</si>
  <si>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</si>
  <si>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</si>
  <si>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</si>
  <si>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</si>
  <si>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</si>
  <si>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</si>
  <si>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</si>
  <si>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</si>
  <si>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DE Bollinger</t>
  </si>
  <si>
    <t>M Vijay, ML Hayden, SK Raina, S Badrinath, MS Dhoni, JA Morkel, S Anirudha, R Ashwin, SB Jakati, DE Bollinger, M Muralitharan</t>
  </si>
  <si>
    <t>AC Gilchrist, HH Gibbs, TL Suman, RG Sharma, A Symonds, MD Mishra, B Sumanth, RJ Harris, Harmeet Singh, RP Singh, PP Ojha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</si>
  <si>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</si>
  <si>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</si>
  <si>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S Dhawan, SR Tendulkar, AM Nayar, Harbhajan Singh, AT Rayudu, SS Tiwary, JP Duminy, KA Pollard, Z Khan, SL Malinga, CRD Fernando</t>
  </si>
  <si>
    <t>S Anirudha</t>
  </si>
  <si>
    <t>PR Reiffel</t>
  </si>
  <si>
    <t>K Srinath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</si>
  <si>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</si>
  <si>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</si>
  <si>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SK Trivedi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</si>
  <si>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</si>
  <si>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</si>
  <si>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Kochi</t>
  </si>
  <si>
    <t>Nehru Stadium</t>
  </si>
  <si>
    <t>Kochi Tuskers Kerala</t>
  </si>
  <si>
    <t>Raju Mukherjee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</si>
  <si>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</si>
  <si>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</si>
  <si>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DA Warner, V Sehwag, UBT Chand, AJ Finch, NV Ojha, Y Venugopal Rao, IK Pathan, RE van der Merwe, M Morkel, UT Yadav, AB Dinda</t>
  </si>
  <si>
    <t>DJ Jacobs, SR Tendulkar, AT Rayudu, RG Sharma, KA Pollard, JEC Franklin, R Sathish, Harbhajan Singh, AG Murtaza, MM Patel, SL Malinga</t>
  </si>
  <si>
    <t>Pune Warriors</t>
  </si>
  <si>
    <t>SB Wagh</t>
  </si>
  <si>
    <t>NA Patwardhan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</si>
  <si>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</si>
  <si>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</si>
  <si>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</si>
  <si>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</si>
  <si>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R Subramanian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</si>
  <si>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</si>
  <si>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</si>
  <si>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MA Agarwal, TM Dilshan, V Kohli, AB de Villiers, AUK Pathan, SS Tiwary, CA Pujara, Z Khan, DL Vettori, DP Nannes, A Mithun</t>
  </si>
  <si>
    <t>PC Valthaty</t>
  </si>
  <si>
    <t>K Bharatan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</si>
  <si>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</si>
  <si>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</si>
  <si>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</si>
  <si>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</si>
  <si>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</si>
  <si>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DW Steyn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</si>
  <si>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</si>
  <si>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</si>
  <si>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</si>
  <si>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</si>
  <si>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VA Kulkarni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</si>
  <si>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</si>
  <si>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</si>
  <si>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</si>
  <si>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</si>
  <si>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</si>
  <si>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</si>
  <si>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</si>
  <si>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</si>
  <si>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</si>
  <si>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</si>
  <si>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</si>
  <si>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</si>
  <si>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S Sohal</t>
  </si>
  <si>
    <t>RJ Tucker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</si>
  <si>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</si>
  <si>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</si>
  <si>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MM Patel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</si>
  <si>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</si>
  <si>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</si>
  <si>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</si>
  <si>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</si>
  <si>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</si>
  <si>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</si>
  <si>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</si>
  <si>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</si>
  <si>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</si>
  <si>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</si>
  <si>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</si>
  <si>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</si>
  <si>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</si>
  <si>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</si>
  <si>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SR Watson, R Dravid, J Botha, LRPL Taylor, AL Menaria, AM Rahane, A Singh, DH Yagnik, SK Warne, STR Binny, SK Trivedi</t>
  </si>
  <si>
    <t>DPMD Jayawardene, VVS Laxman, PA Patel, BJ Hodge, RA Jadeja, RV Gomez, NLTC Perera, KM Jadhav, R Vinay Kumar, M Muralitharan, RP Singh</t>
  </si>
  <si>
    <t>M Vijay, MEK Hussey, SK Raina, MS Dhoni, JA Morkel, S Badrinath, S Anirudha, R Ashwin, DE Bollinger, SB Jakati, S Randiv</t>
  </si>
  <si>
    <t>JD Ryder, MD Mishra, MK Pandey, RV Uthappa, Yuvraj Singh, M Manhas, NL McCullum, R Sharma, JE Taylor, M Kartik, AC Thomas</t>
  </si>
  <si>
    <t>V Kohli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</si>
  <si>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</si>
  <si>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</si>
  <si>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GF Labrooy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</si>
  <si>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</si>
  <si>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</si>
  <si>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I Sharma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</si>
  <si>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</si>
  <si>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</si>
  <si>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</si>
  <si>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</si>
  <si>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J Botha</t>
  </si>
  <si>
    <t>DJ Jacobs, SR Tendulkar, AT Rayudu, RG Sharma, A Symonds, KA Pollard, R Sathish, Harbhajan Singh, SL Malinga, AG Murtaza, MM Patel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</si>
  <si>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</si>
  <si>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</si>
  <si>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</si>
  <si>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</si>
  <si>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Iqbal Abdulla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</si>
  <si>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</si>
  <si>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</si>
  <si>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</si>
  <si>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</si>
  <si>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S Sohal, S Dhawan, B Chipli, KC Sangakkara, CL White, JP Duminy, DT Christian, A Mishra, I Sharma, PP Ojha, Harmeet Singh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</si>
  <si>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</si>
  <si>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</si>
  <si>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</si>
  <si>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</si>
  <si>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</si>
  <si>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</si>
  <si>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</si>
  <si>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</si>
  <si>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</si>
  <si>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R Sharma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</si>
  <si>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</si>
  <si>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</si>
  <si>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</si>
  <si>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</si>
  <si>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</si>
  <si>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</si>
  <si>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</si>
  <si>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</si>
  <si>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</si>
  <si>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</si>
  <si>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</si>
  <si>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</si>
  <si>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</si>
  <si>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</si>
  <si>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</si>
  <si>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</si>
  <si>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</si>
  <si>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</si>
  <si>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MR Marsh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</si>
  <si>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</si>
  <si>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</si>
  <si>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</si>
  <si>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</si>
  <si>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</si>
  <si>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</si>
  <si>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</si>
  <si>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</si>
  <si>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</si>
  <si>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</si>
  <si>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Indore</t>
  </si>
  <si>
    <t>Holkar Cricket Stadium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</si>
  <si>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</si>
  <si>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</si>
  <si>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</si>
  <si>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</si>
  <si>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</si>
  <si>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</si>
  <si>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</si>
  <si>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</si>
  <si>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</si>
  <si>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</si>
  <si>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</si>
  <si>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</si>
  <si>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</si>
  <si>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</si>
  <si>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WP Saha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</si>
  <si>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</si>
  <si>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</si>
  <si>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</si>
  <si>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</si>
  <si>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</si>
  <si>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</si>
  <si>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S Dhawan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</si>
  <si>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</si>
  <si>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</si>
  <si>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no result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</si>
  <si>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</si>
  <si>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</si>
  <si>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</si>
  <si>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</si>
  <si>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</si>
  <si>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</si>
  <si>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</si>
  <si>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</si>
  <si>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</si>
  <si>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</si>
  <si>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</si>
  <si>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</si>
  <si>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</si>
  <si>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</si>
  <si>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</si>
  <si>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RE Levi</t>
  </si>
  <si>
    <t>RS Madugalle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</si>
  <si>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</si>
  <si>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</si>
  <si>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Premdip Chatterjee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</si>
  <si>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</si>
  <si>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</si>
  <si>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SPD Smith</t>
  </si>
  <si>
    <t>RR Jadeja</t>
  </si>
  <si>
    <t>PG Pathak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</si>
  <si>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</si>
  <si>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</si>
  <si>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AM Rahane</t>
  </si>
  <si>
    <t>PK Khakhar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</si>
  <si>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</si>
  <si>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</si>
  <si>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</si>
  <si>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</si>
  <si>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Visakhapatnam</t>
  </si>
  <si>
    <t>Dr. Y.S. Rajasekhara Reddy ACA-VDCA Cricket Stadium</t>
  </si>
  <si>
    <t>RA Jadeja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</si>
  <si>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</si>
  <si>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</si>
  <si>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</si>
  <si>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</si>
  <si>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Pune</t>
  </si>
  <si>
    <t>Subrata Roy Sahara Stadium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</si>
  <si>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</si>
  <si>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</si>
  <si>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</si>
  <si>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</si>
  <si>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</si>
  <si>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</si>
  <si>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</si>
  <si>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M Morkel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</si>
  <si>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</si>
  <si>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</si>
  <si>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BNJ Oxenford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</si>
  <si>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</si>
  <si>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</si>
  <si>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F du Plessis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</si>
  <si>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</si>
  <si>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</si>
  <si>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</si>
  <si>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B Vij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</si>
  <si>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</si>
  <si>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</si>
  <si>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Shakib Al Hasan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</si>
  <si>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</si>
  <si>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</si>
  <si>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</si>
  <si>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</si>
  <si>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</si>
  <si>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SP Narine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</si>
  <si>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</si>
  <si>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</si>
  <si>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</si>
  <si>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</si>
  <si>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S Nadeem</t>
  </si>
  <si>
    <t>RE Levi, DJ Jacobs, RG Sharma, AT Rayudu, KA Pollard, KD Karthik, Harbhajan Singh, CJ McKay, RP Singh, PP Ojha, MM Patel</t>
  </si>
  <si>
    <t>NV Ojha, V Sehwag, KP Pietersen, DPMD Jayawardene, LRPL Taylor, IK Pathan, Y Nagar, AB Agarkar, M Morkel, UT Yadav, S Nadeem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</si>
  <si>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</si>
  <si>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</si>
  <si>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</si>
  <si>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</si>
  <si>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</si>
  <si>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</si>
  <si>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</si>
  <si>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</si>
  <si>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</si>
  <si>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</si>
  <si>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</si>
  <si>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</si>
  <si>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</si>
  <si>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</si>
  <si>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</si>
  <si>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</si>
  <si>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</si>
  <si>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</si>
  <si>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</si>
  <si>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</si>
  <si>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</si>
  <si>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</si>
  <si>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</si>
  <si>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</si>
  <si>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</si>
  <si>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</si>
  <si>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</si>
  <si>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</si>
  <si>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</si>
  <si>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</si>
  <si>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</si>
  <si>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Mandeep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</si>
  <si>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</si>
  <si>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</si>
  <si>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AS Pathania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</si>
  <si>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</si>
  <si>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</si>
  <si>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R Risodkar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</si>
  <si>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</si>
  <si>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</si>
  <si>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</si>
  <si>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</si>
  <si>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</si>
  <si>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</si>
  <si>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</si>
  <si>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</si>
  <si>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P Negi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</si>
  <si>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</si>
  <si>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</si>
  <si>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Azhar Mahmood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</si>
  <si>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</si>
  <si>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</si>
  <si>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</si>
  <si>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</si>
  <si>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</si>
  <si>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</si>
  <si>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</si>
  <si>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</si>
  <si>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</si>
  <si>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</si>
  <si>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</si>
  <si>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</si>
  <si>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</si>
  <si>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</si>
  <si>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</si>
  <si>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</si>
  <si>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</si>
  <si>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</si>
  <si>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</si>
  <si>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</si>
  <si>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</si>
  <si>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</si>
  <si>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</si>
  <si>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</si>
  <si>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BW Hilfenhaus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</si>
  <si>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</si>
  <si>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</si>
  <si>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MD Mishra, MJ Clarke, MK Pandey, RV Uthappa, AP Majumdar, AD Mathews, SPD Smith, B Kumar, AC Thomas, R Sharma, K Upadhyay</t>
  </si>
  <si>
    <t>CH Gayle, TM Dilshan, V Kohli, SS Tiwary, AB de Villiers, MA Agarwal, R Vinay Kumar, Z Khan, HV Patel, M Muralitharan, KP Appanna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</si>
  <si>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</si>
  <si>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</si>
  <si>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</si>
  <si>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</si>
  <si>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</si>
  <si>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</si>
  <si>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</si>
  <si>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</si>
  <si>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</si>
  <si>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HH Gibbs, SR Tendulkar, RG Sharma, KD Karthik, AT Rayudu, DR Smith, KA Pollard, Harbhajan Singh, SL Malinga, RP Singh, MM Patel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</si>
  <si>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</si>
  <si>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</si>
  <si>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UT Yadav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</si>
  <si>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</si>
  <si>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</si>
  <si>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</si>
  <si>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</si>
  <si>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VK Sharma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</si>
  <si>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</si>
  <si>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</si>
  <si>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</si>
  <si>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</si>
  <si>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</si>
  <si>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</si>
  <si>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</si>
  <si>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</si>
  <si>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</si>
  <si>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</si>
  <si>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</si>
  <si>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</si>
  <si>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</si>
  <si>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</si>
  <si>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</si>
  <si>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</si>
  <si>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</si>
  <si>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</si>
  <si>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</si>
  <si>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</si>
  <si>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</si>
  <si>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</si>
  <si>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</si>
  <si>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DC Boon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</si>
  <si>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</si>
  <si>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</si>
  <si>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</si>
  <si>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</si>
  <si>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Sunrisers Hyderabad</t>
  </si>
  <si>
    <t>A Nand Kishore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</si>
  <si>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</si>
  <si>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</si>
  <si>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</si>
  <si>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</si>
  <si>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</si>
  <si>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</si>
  <si>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M Vohra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</si>
  <si>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</si>
  <si>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</si>
  <si>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GH Vihari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</si>
  <si>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</si>
  <si>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</si>
  <si>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Tapan Sharma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</si>
  <si>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</si>
  <si>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</si>
  <si>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</si>
  <si>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</si>
  <si>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RT Ponting, SR Tendulkar, KD Karthik, RG Sharma, KA Pollard, AT Rayudu, Harbhajan Singh, R Dhawan, MG Johnson, PP Ojha, SL Malinga</t>
  </si>
  <si>
    <t>UBT Chand, DA Warner, DPMD Jayawardene, MC Juneja, BMAJ Mendis, IK Pathan, KM Jadhav, S Nadeem, M Morkel, A Nehra, UT Yadav</t>
  </si>
  <si>
    <t>Nitin Menon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</si>
  <si>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</si>
  <si>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</si>
  <si>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</si>
  <si>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</si>
  <si>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AJ Finch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</si>
  <si>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</si>
  <si>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</si>
  <si>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Subroto Das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</si>
  <si>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</si>
  <si>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</si>
  <si>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</si>
  <si>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</si>
  <si>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</si>
  <si>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</si>
  <si>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</si>
  <si>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JP Faulkner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</si>
  <si>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</si>
  <si>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</si>
  <si>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</si>
  <si>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</si>
  <si>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</si>
  <si>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</si>
  <si>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</si>
  <si>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</si>
  <si>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</si>
  <si>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Maharashtra Cricket Association Stadium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</si>
  <si>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</si>
  <si>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</si>
  <si>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</si>
  <si>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</si>
  <si>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</si>
  <si>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</si>
  <si>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</si>
  <si>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</si>
  <si>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</si>
  <si>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</si>
  <si>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</si>
  <si>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</si>
  <si>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</si>
  <si>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</si>
  <si>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DA Miller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</si>
  <si>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</si>
  <si>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</si>
  <si>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</si>
  <si>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</si>
  <si>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</si>
  <si>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</si>
  <si>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</si>
  <si>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</si>
  <si>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</si>
  <si>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</si>
  <si>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</si>
  <si>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</si>
  <si>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</si>
  <si>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</si>
  <si>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</si>
  <si>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</si>
  <si>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DR Smith, SR Tendulkar, KD Karthik, RG Sharma, KA Pollard, AT Rayudu, Harbhajan Singh, MG Johnson, SL Malinga, DS Kulkarni, PP Ojha</t>
  </si>
  <si>
    <t>CH Gayle, TM Dilshan, V Kohli, AB de Villiers, SS Tiwary, KB Arun Karthik, J Syed Mohammad, R Rampaul, R Vinay Kumar, RP Singh, JD Unadkat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</si>
  <si>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</si>
  <si>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</si>
  <si>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Raipur</t>
  </si>
  <si>
    <t>Shaheed Veer Narayan Singh International Stadium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</si>
  <si>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</si>
  <si>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</si>
  <si>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SV Samson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</si>
  <si>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</si>
  <si>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</si>
  <si>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Mandeep Singh, SE Marsh, M Vohra, DJ Hussey, DA Miller, Gurkeerat Singh, Azhar Mahmood, MS Gony, PP Chawla, P Kumar, P Awana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</si>
  <si>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</si>
  <si>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</si>
  <si>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PA Reddy, S Dhawan, KC Sangakkara, GH Vihari, DJG Sammy, NLTC Perera, A Ashish Reddy, KV Sharma, A Mishra, DW Steyn, I Sharma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</si>
  <si>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</si>
  <si>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</si>
  <si>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NJ Llong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</si>
  <si>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</si>
  <si>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</si>
  <si>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</si>
  <si>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</si>
  <si>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</si>
  <si>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</si>
  <si>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</si>
  <si>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</si>
  <si>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</si>
  <si>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MG Johnson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</si>
  <si>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</si>
  <si>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</si>
  <si>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</si>
  <si>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</si>
  <si>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</si>
  <si>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</si>
  <si>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</si>
  <si>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</si>
  <si>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</si>
  <si>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</si>
  <si>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</si>
  <si>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</si>
  <si>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</si>
  <si>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</si>
  <si>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</si>
  <si>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</si>
  <si>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</si>
  <si>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</si>
  <si>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</si>
  <si>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</si>
  <si>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</si>
  <si>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PA Patel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</si>
  <si>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</si>
  <si>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</si>
  <si>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Ranchi</t>
  </si>
  <si>
    <t>JSCA International Stadium Complex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</si>
  <si>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</si>
  <si>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</si>
  <si>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</si>
  <si>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</si>
  <si>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</si>
  <si>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</si>
  <si>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</si>
  <si>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</si>
  <si>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</si>
  <si>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</si>
  <si>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</si>
  <si>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</si>
  <si>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</si>
  <si>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</si>
  <si>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</si>
  <si>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</si>
  <si>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</si>
  <si>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</si>
  <si>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</si>
  <si>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</si>
  <si>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</si>
  <si>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</si>
  <si>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</si>
  <si>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LJ Wright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</si>
  <si>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</si>
  <si>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</si>
  <si>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</si>
  <si>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</si>
  <si>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</si>
  <si>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</si>
  <si>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</si>
  <si>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</si>
  <si>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</si>
  <si>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</si>
  <si>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</si>
  <si>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</si>
  <si>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Abu Dhabi</t>
  </si>
  <si>
    <t>Sheikh Zayed Stadium</t>
  </si>
  <si>
    <t>RK Illingworth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</si>
  <si>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</si>
  <si>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</si>
  <si>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Sharjah Cricket Stadium</t>
  </si>
  <si>
    <t>YS Chahal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</si>
  <si>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</si>
  <si>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</si>
  <si>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GJ Maxwell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</si>
  <si>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</si>
  <si>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</si>
  <si>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</si>
  <si>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</si>
  <si>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Dubai International Cricket Stadium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</si>
  <si>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</si>
  <si>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</si>
  <si>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</si>
  <si>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</si>
  <si>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</si>
  <si>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</si>
  <si>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</si>
  <si>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</si>
  <si>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</si>
  <si>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</si>
  <si>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</si>
  <si>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</si>
  <si>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Lynn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</si>
  <si>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</si>
  <si>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</si>
  <si>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</si>
  <si>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</si>
  <si>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MM Sharma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</si>
  <si>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</si>
  <si>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</si>
  <si>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PV Tambe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</si>
  <si>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</si>
  <si>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</si>
  <si>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Sandeep Sharma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</si>
  <si>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</si>
  <si>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</si>
  <si>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</si>
  <si>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</si>
  <si>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</si>
  <si>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</si>
  <si>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</si>
  <si>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</si>
  <si>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</si>
  <si>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</si>
  <si>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B Kumar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</si>
  <si>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</si>
  <si>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</si>
  <si>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AY Dandekar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</si>
  <si>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</si>
  <si>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</si>
  <si>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CJ Anderson</t>
  </si>
  <si>
    <t>R Pandit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</si>
  <si>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</si>
  <si>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</si>
  <si>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KK Nair</t>
  </si>
  <si>
    <t>Navdeep Singh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</si>
  <si>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</si>
  <si>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</si>
  <si>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</si>
  <si>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</si>
  <si>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</si>
  <si>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</si>
  <si>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</si>
  <si>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</si>
  <si>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</si>
  <si>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</si>
  <si>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</si>
  <si>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</si>
  <si>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UV Gandhe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</si>
  <si>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</si>
  <si>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</si>
  <si>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</si>
  <si>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</si>
  <si>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</si>
  <si>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</si>
  <si>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</si>
  <si>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</si>
  <si>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</si>
  <si>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</si>
  <si>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</si>
  <si>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</si>
  <si>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</si>
  <si>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</si>
  <si>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</si>
  <si>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</si>
  <si>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</si>
  <si>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</si>
  <si>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</si>
  <si>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</si>
  <si>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</si>
  <si>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</si>
  <si>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</si>
  <si>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</si>
  <si>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</si>
  <si>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</si>
  <si>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</si>
  <si>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</si>
  <si>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</si>
  <si>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</si>
  <si>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</si>
  <si>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</si>
  <si>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AR Patel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</si>
  <si>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</si>
  <si>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</si>
  <si>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</si>
  <si>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</si>
  <si>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</si>
  <si>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</si>
  <si>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LMP Simmons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</si>
  <si>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</si>
  <si>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</si>
  <si>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</si>
  <si>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</si>
  <si>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</si>
  <si>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</si>
  <si>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</si>
  <si>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</si>
  <si>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</si>
  <si>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</si>
  <si>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</si>
  <si>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</si>
  <si>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</si>
  <si>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</si>
  <si>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</si>
  <si>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</si>
  <si>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</si>
  <si>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</si>
  <si>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</si>
  <si>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</si>
  <si>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</si>
  <si>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</si>
  <si>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</si>
  <si>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</si>
  <si>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</si>
  <si>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</si>
  <si>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</si>
  <si>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</si>
  <si>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M Nayyar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</si>
  <si>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</si>
  <si>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</si>
  <si>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SD Fry</t>
  </si>
  <si>
    <t>CB Gaffaney</t>
  </si>
  <si>
    <t>V Sehwag, M Vijay, WP Saha, GJ Maxwell, AR Patel, DA Miller, GJ Bailey, MG Johnson, Anureet Singh, Karanveer Singh, Sandeep Sharma</t>
  </si>
  <si>
    <t>AM Rahane, SV Samson, SPD Smith, KK Nair, STR Binny, DJ Hooda, JP Faulkner, CH Morris, TG Southee, DS Kulkarni, PV Tambe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</si>
  <si>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</si>
  <si>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</si>
  <si>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</si>
  <si>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</si>
  <si>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DJ Hooda</t>
  </si>
  <si>
    <t>MA Agarwal, SS Iyer, JP Duminy, Yuvraj Singh, AD Mathews, MK Tiwary, KM Jadhav, NM Coulter-Nile, A Mishra, Imran Tahir, JD Unadkat</t>
  </si>
  <si>
    <t>GJ Bailey</t>
  </si>
  <si>
    <t>Chinmay Sharma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</si>
  <si>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</si>
  <si>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</si>
  <si>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</si>
  <si>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</si>
  <si>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</si>
  <si>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</si>
  <si>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MA Agarwal</t>
  </si>
  <si>
    <t>M Vijay, V Sehwag, WP Saha, DA Miller, GJ Maxwell, GJ Bailey, AR Patel, R Dhawan, MG Johnson, Anureet Singh, Sandeep Sharma</t>
  </si>
  <si>
    <t>MA Agarwal, SS Iyer, JP Duminy, Yuvraj Singh, AD Mathews, KM Jadhav, MK Tiwary, NM Coulter-Nile, A Mishra, Imran Tahir, DJ Muthuswami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</si>
  <si>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</si>
  <si>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</si>
  <si>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LMP Simmons, PA Patel, CJ Anderson, RG Sharma, Harbhajan Singh, KA Pollard, AT Rayudu, J Suchith, R Vinay Kumar, SL Malinga, P Suyal</t>
  </si>
  <si>
    <t>DR Smith, BB McCullum, SK Raina, F du Plessis, MS Dhoni, DJ Bravo, RA Jadeja, R Ashwin, MM Sharma, IC Pandey, A Nehra</t>
  </si>
  <si>
    <t>DA Warner, S Dhawan, RS Bopara, KL Rahul, NV Ojha, EJG Morgan, A Ashish Reddy, KV Sharma, P Kumar, B Kumar, DW Steyn</t>
  </si>
  <si>
    <t>AD Russell</t>
  </si>
  <si>
    <t>M Vijay, V Sehwag, WP Saha, GJ Maxwell, GJ Bailey, NLTC Perera, Gurkeerat Singh, AR Patel, MG Johnson, Anureet Singh, Sandeep Sharma</t>
  </si>
  <si>
    <t>RV Uthappa, G Gambhir, MK Pandey, SA Yadav, YK Pathan, RN ten Doeschate, AD Russell, PP Chawla, SP Narine, M Morkel, UT Yadav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</si>
  <si>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</si>
  <si>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</si>
  <si>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</si>
  <si>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</si>
  <si>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MA Agarwal, SS Iyer, JP Duminy, MK Tiwary, Yuvraj Singh, AD Mathews, KM Jadhav, NM Coulter-Nile, A Mishra, Imran Tahir, DJ Muthuswami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</si>
  <si>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</si>
  <si>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</si>
  <si>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</si>
  <si>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</si>
  <si>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</si>
  <si>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</si>
  <si>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SS Iyer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</si>
  <si>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</si>
  <si>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</si>
  <si>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MA Starc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</si>
  <si>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</si>
  <si>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</si>
  <si>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</si>
  <si>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</si>
  <si>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</si>
  <si>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</si>
  <si>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VR Aaron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</si>
  <si>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</si>
  <si>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</si>
  <si>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TA Boult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</si>
  <si>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</si>
  <si>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</si>
  <si>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RV Uthappa, G Gambhir, MK Pandey, SA Yadav, YK Pathan, RN ten Doeschate, AD Russell, PJ Cummins, PP Chawla, UT Yadav, GB Hogg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</si>
  <si>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</si>
  <si>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</si>
  <si>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</si>
  <si>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</si>
  <si>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NM Coulter-Nile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</si>
  <si>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</si>
  <si>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</si>
  <si>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</si>
  <si>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</si>
  <si>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</si>
  <si>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</si>
  <si>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</si>
  <si>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</si>
  <si>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</si>
  <si>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</si>
  <si>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</si>
  <si>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</si>
  <si>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</si>
  <si>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</si>
  <si>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</si>
  <si>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</si>
  <si>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</si>
  <si>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</si>
  <si>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CH Gayle, V Kohli, AB de Villiers, KD Karthik, SN Khan, Mandeep Singh, D Wiese, MA Starc, HV Patel, YS Chahal, S Aravind</t>
  </si>
  <si>
    <t>M Vijay, M Vohra, WP Saha, GJ Maxwell, DA Miller, GJ Bailey, AR Patel, MG Johnson, Anureet Singh, Karanveer Singh, Sandeep Sharma</t>
  </si>
  <si>
    <t>EJG Morgan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</si>
  <si>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</si>
  <si>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</si>
  <si>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</si>
  <si>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</si>
  <si>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HH Pandya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</si>
  <si>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</si>
  <si>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</si>
  <si>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</si>
  <si>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</si>
  <si>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MC Henriques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</si>
  <si>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</si>
  <si>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</si>
  <si>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PA Patel, LMP Simmons, RG Sharma, KA Pollard, HH Pandya, AT Rayudu, Harbhajan Singh, J Suchith, MJ McClenaghan, SL Malinga, JJ Bumrah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</si>
  <si>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</si>
  <si>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</si>
  <si>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</si>
  <si>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</si>
  <si>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</si>
  <si>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</si>
  <si>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</si>
  <si>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</si>
  <si>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</si>
  <si>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LMP Simmons, PA Patel, RG Sharma, AT Rayudu, KA Pollard, HH Pandya, Harbhajan Singh, J Suchith, MJ McClenaghan, R Vinay Kumar, SL Malinga</t>
  </si>
  <si>
    <t>RV Uthappa, G Gambhir, MK Pandey, YK Pathan, Shakib Al Hasan, AD Russell, SA Yadav, PP Chawla, UT Yadav, M Morkel, SP Narine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</si>
  <si>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</si>
  <si>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</si>
  <si>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</si>
  <si>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</si>
  <si>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</si>
  <si>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</si>
  <si>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</si>
  <si>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</si>
  <si>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MJ McClenaghan</t>
  </si>
  <si>
    <t>DA Warner, S Dhawan, MC Henriques, EJG Morgan, KL Rahul, NV Ojha, KV Sharma, A Ashish Reddy, B Kumar, P Kumar, DW Steyn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</si>
  <si>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</si>
  <si>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</si>
  <si>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</si>
  <si>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</si>
  <si>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</si>
  <si>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</si>
  <si>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</si>
  <si>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</si>
  <si>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Rising Pune Supergiants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</si>
  <si>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</si>
  <si>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</si>
  <si>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A Deshmukh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</si>
  <si>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</si>
  <si>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</si>
  <si>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Punjab Cricket Association IS Bindra Stadium, Mohali</t>
  </si>
  <si>
    <t>Gujarat Lions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</si>
  <si>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</si>
  <si>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</si>
  <si>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YC Barde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</si>
  <si>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</si>
  <si>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</si>
  <si>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</si>
  <si>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</si>
  <si>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Rajkot</t>
  </si>
  <si>
    <t>Saurashtra Cricket Association Stadium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</si>
  <si>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</si>
  <si>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</si>
  <si>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</si>
  <si>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</si>
  <si>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</si>
  <si>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</si>
  <si>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</si>
  <si>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</si>
  <si>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</si>
  <si>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</si>
  <si>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Q de Kock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</si>
  <si>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</si>
  <si>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</si>
  <si>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</si>
  <si>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</si>
  <si>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</si>
  <si>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</si>
  <si>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</si>
  <si>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</si>
  <si>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S Chaturvedi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</si>
  <si>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</si>
  <si>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</si>
  <si>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</si>
  <si>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</si>
  <si>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Q de Kock, SS Iyer, SV Samson, KK Nair, JP Duminy, P Negi, CH Morris, Z Khan, A Mishra, Mohammed Shami, Imran Tahir</t>
  </si>
  <si>
    <t>RG Sharma, PA Patel, AT Rayudu, KH Pandya, JC Buttler, KA Pollard, HH Pandya, Harbhajan Singh, TG Southee, MJ McClenaghan, JJ Bumrah</t>
  </si>
  <si>
    <t>Mustafizur Rahman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</si>
  <si>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</si>
  <si>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</si>
  <si>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</si>
  <si>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</si>
  <si>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SA Yadav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</si>
  <si>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</si>
  <si>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</si>
  <si>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</si>
  <si>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</si>
  <si>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AB Dinda</t>
  </si>
  <si>
    <t>Amit Sharma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</si>
  <si>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</si>
  <si>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</si>
  <si>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CH Morris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</si>
  <si>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</si>
  <si>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</si>
  <si>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</si>
  <si>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</si>
  <si>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</si>
  <si>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</si>
  <si>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</si>
  <si>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</si>
  <si>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</si>
  <si>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</si>
  <si>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</si>
  <si>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</si>
  <si>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</si>
  <si>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</si>
  <si>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</si>
  <si>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</si>
  <si>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</si>
  <si>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RR Pant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</si>
  <si>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</si>
  <si>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</si>
  <si>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</si>
  <si>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</si>
  <si>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</si>
  <si>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</si>
  <si>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</si>
  <si>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</si>
  <si>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</si>
  <si>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</si>
  <si>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MP Stoinis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</si>
  <si>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</si>
  <si>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</si>
  <si>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DA Warner, S Dhawan, KS Williamson, Yuvraj Singh, MC Henriques, DJ Hooda, NV Ojha, B Kumar, BB Sran, A Nehra, Mustafizur Rahman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</si>
  <si>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</si>
  <si>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</si>
  <si>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</si>
  <si>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</si>
  <si>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Zampa</t>
  </si>
  <si>
    <t>AM Rahane, UT Khawaja, GJ Bailey, R Ashwin, SS Tiwary, MS Dhoni, NLTC Perera, R Bhatia, A Zampa, AB Dinda, RP Singh</t>
  </si>
  <si>
    <t>KH Pandya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</si>
  <si>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</si>
  <si>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</si>
  <si>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Q de Kock, MA Agarwal, KK Nair, SV Samson, RR Pant, JP Duminy, J Yadav, CH Morris, A Mishra, NM Coulter-Nile, Mohammed Shami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</si>
  <si>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</si>
  <si>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</si>
  <si>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</si>
  <si>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</si>
  <si>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</si>
  <si>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</si>
  <si>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HM Amla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</si>
  <si>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</si>
  <si>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</si>
  <si>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</si>
  <si>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</si>
  <si>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</si>
  <si>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</si>
  <si>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</si>
  <si>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</si>
  <si>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</si>
  <si>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</si>
  <si>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Kanpur</t>
  </si>
  <si>
    <t>Green Park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</si>
  <si>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</si>
  <si>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</si>
  <si>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</si>
  <si>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</si>
  <si>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</si>
  <si>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</si>
  <si>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</si>
  <si>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</si>
  <si>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</si>
  <si>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</si>
  <si>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</si>
  <si>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</si>
  <si>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</si>
  <si>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</si>
  <si>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</si>
  <si>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</si>
  <si>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</si>
  <si>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</si>
  <si>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</si>
  <si>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</si>
  <si>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</si>
  <si>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N Pandit</t>
  </si>
  <si>
    <t>DA Warner, S Dhawan, MC Henriques, Yuvraj Singh, DJ Hooda, BCJ Cutting, NV Ojha, Bipul Sharma, B Kumar, A Nehra, Rashid Khan</t>
  </si>
  <si>
    <t>CH Gayle, Mandeep Singh, TM Head, KM Jadhav, SR Watson, Sachin Baby, STR Binny, S Aravind, TS Mills, YS Chahal, A Choudhary</t>
  </si>
  <si>
    <t>Rising Pune Supergiant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</si>
  <si>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</si>
  <si>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</si>
  <si>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V Narayan Kutty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</si>
  <si>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</si>
  <si>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</si>
  <si>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</si>
  <si>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</si>
  <si>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Bengaluru</t>
  </si>
  <si>
    <t>M.Chinnaswamy Stadium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</si>
  <si>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</si>
  <si>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</si>
  <si>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Rashid Khan</t>
  </si>
  <si>
    <t>JJ Roy, BB McCullum, SK Raina, AJ Finch, KD Karthik, DR Smith, DS Kulkarni, P Kumar, Basil Thampi, Tejas Baroka, S Kaushik</t>
  </si>
  <si>
    <t>N Rana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</si>
  <si>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</si>
  <si>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</si>
  <si>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</si>
  <si>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</si>
  <si>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</si>
  <si>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</si>
  <si>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JJ Bumrah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</si>
  <si>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</si>
  <si>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</si>
  <si>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</si>
  <si>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</si>
  <si>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</si>
  <si>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</si>
  <si>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AJ Tye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</si>
  <si>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</si>
  <si>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</si>
  <si>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</si>
  <si>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</si>
  <si>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</si>
  <si>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</si>
  <si>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</si>
  <si>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</si>
  <si>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BA Stokes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</si>
  <si>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</si>
  <si>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</si>
  <si>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</si>
  <si>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</si>
  <si>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</si>
  <si>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</si>
  <si>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</si>
  <si>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</si>
  <si>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KS Williamson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</si>
  <si>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</si>
  <si>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</si>
  <si>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JC Buttler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</si>
  <si>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</si>
  <si>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</si>
  <si>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</si>
  <si>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</si>
  <si>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AM Rahane, RA Tripathi, SPD Smith, MS Dhoni, BA Stokes, MK Tiwary, DT Christian, Washington Sundar, SN Thakur, JD Unadkat, Imran Tahir</t>
  </si>
  <si>
    <t>DA Warner, S Dhawan, KS Williamson, MC Henriques, DJ Hooda, NV Ojha, Bipul Sharma, B Kumar, Rashid Khan, Mohammed Siraj, S Kaul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</si>
  <si>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</si>
  <si>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</si>
  <si>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</si>
  <si>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</si>
  <si>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</si>
  <si>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</si>
  <si>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PA Patel, JC Buttler, N Rana, RG Sharma, KV Sharma, KA Pollard, HH Pandya, Harbhajan Singh, MJ McClenaghan, MG Johnson, JJ Bumrah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</si>
  <si>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</si>
  <si>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</si>
  <si>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</si>
  <si>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</si>
  <si>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</si>
  <si>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</si>
  <si>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</si>
  <si>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</si>
  <si>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LH Ferguson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</si>
  <si>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</si>
  <si>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</si>
  <si>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</si>
  <si>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</si>
  <si>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</si>
  <si>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</si>
  <si>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</si>
  <si>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</si>
  <si>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</si>
  <si>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</si>
  <si>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</si>
  <si>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</si>
  <si>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Mohammed Shami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</si>
  <si>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</si>
  <si>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</si>
  <si>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RA Tripathi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</si>
  <si>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</si>
  <si>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</si>
  <si>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</si>
  <si>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</si>
  <si>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</si>
  <si>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</si>
  <si>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</si>
  <si>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</si>
  <si>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</si>
  <si>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</si>
  <si>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</si>
  <si>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</si>
  <si>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MJ Guptill, HM Amla, SE Marsh, GJ Maxwell, AR Patel, WP Saha, Gurkeerat Singh, MM Sharma, Sandeep Sharma, VR Aaron, T Natarajan</t>
  </si>
  <si>
    <t>DR Smith, Ishan Kishan, SK Raina, KD Karthik, AJ Finch, RA Jadeja, JP Faulkner, DS Kulkarni, PJ Sangwan, Basil Thampi, Ankit Soni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</si>
  <si>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</si>
  <si>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</si>
  <si>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</si>
  <si>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</si>
  <si>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SV Samson, KK Nair, RR Pant, SS Iyer, MN Samuels, CJ Anderson, CR Brathwaite, PJ Cummins, Mohammed Shami, A Mishra, Z Khan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</si>
  <si>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</si>
  <si>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</si>
  <si>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SV Samson, KK Nair, SS Iyer, RR Pant, MN Samuels, CJ Anderson, PJ Cummins, A Mishra, Mohammed Shami, S Nadeem, Z Khan</t>
  </si>
  <si>
    <t>AM Rahane, RA Tripathi, SPD Smith, MK Tiwary, BA Stokes, MS Dhoni, DT Christian, Washington Sundar, SN Thakur, JD Unadkat, A Zampa</t>
  </si>
  <si>
    <t>Mohammed Siraj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</si>
  <si>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</si>
  <si>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</si>
  <si>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</si>
  <si>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</si>
  <si>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</si>
  <si>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</si>
  <si>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HV Patel</t>
  </si>
  <si>
    <t>CH Gayle, Vishnu Vinod, V Kohli, TM Head, KM Jadhav, Sachin Baby, SR Watson, P Negi, HV Patel, Avesh Khan, YS Chahal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</si>
  <si>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</si>
  <si>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</si>
  <si>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</si>
  <si>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</si>
  <si>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</si>
  <si>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KV Sharma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</si>
  <si>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</si>
  <si>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</si>
  <si>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</si>
  <si>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</si>
  <si>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RB Richardson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</si>
  <si>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</si>
  <si>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</si>
  <si>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Punjab Cricket Association IS Bindra Stadium</t>
  </si>
  <si>
    <t>KL Rahul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</si>
  <si>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</si>
  <si>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</si>
  <si>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</si>
  <si>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</si>
  <si>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Rajiv Gandhi International Stadium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</si>
  <si>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</si>
  <si>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</si>
  <si>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MA Chidambaram Stadium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</si>
  <si>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</si>
  <si>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</si>
  <si>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</si>
  <si>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</si>
  <si>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</si>
  <si>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</si>
  <si>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</si>
  <si>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</si>
  <si>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</si>
  <si>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JJ Roy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</si>
  <si>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</si>
  <si>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</si>
  <si>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</si>
  <si>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</si>
  <si>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</si>
  <si>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</si>
  <si>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</si>
  <si>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</si>
  <si>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</si>
  <si>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CA Lynn, SP Narine, RV Uthappa, N Rana, KD Karthik, AD Russell, Shubman Gill, TK Curran, PP Chawla, Shivam Mavi, Kuldeep Yadav</t>
  </si>
  <si>
    <t>G Gambhir, JJ Roy, SS Iyer, RR Pant, GJ Maxwell, R Tewatia, V Shankar, CH Morris, Mohammed Shami, S Nadeem, TA Boult</t>
  </si>
  <si>
    <t>SA Yadav, E Lewis, Ishan Kishan, RG Sharma, KH Pandya, KA Pollard, HH Pandya, MJ McClenaghan, M Markande, JJ Bumrah, Mustafizur Rahman</t>
  </si>
  <si>
    <t>V Kohli, Q de Kock, AB de Villiers, Mandeep Singh, CJ Anderson, Washington Sundar, SN Khan, CR Woakes, UT Yadav, Mohammed Siraj, YS Chahal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</si>
  <si>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</si>
  <si>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</si>
  <si>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</si>
  <si>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</si>
  <si>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</si>
  <si>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</si>
  <si>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KL Rahul, CH Gayle, MA Agarwal, KK Nair, AJ Finch, Yuvraj Singh, R Ashwin, AJ Tye, BB Sran, Mujeeb Ur Rahman, AS Rajpoot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</si>
  <si>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</si>
  <si>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</si>
  <si>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</si>
  <si>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</si>
  <si>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JC Archer</t>
  </si>
  <si>
    <t>HAS Khalid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</si>
  <si>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</si>
  <si>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</si>
  <si>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Arun Jaitley Stadium</t>
  </si>
  <si>
    <t>AS Rajpoot</t>
  </si>
  <si>
    <t>GR Sadashiv Iyer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</si>
  <si>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</si>
  <si>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</si>
  <si>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 Dhawan, KS Williamson, WP Saha, MK Pandey, Shakib Al Hasan, YK Pathan, Mohammad Nabi, Rashid Khan, Basil Thampi, S Kaul, Sandeep Sharma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</si>
  <si>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</si>
  <si>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</si>
  <si>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KL Rahul, CH Gayle, MA Agarwal, KK Nair, AJ Finch, MK Tiwary, R Ashwin, AJ Tye, BB Sran, AS Rajpoot, Mujeeb Ur Rahman</t>
  </si>
  <si>
    <t>PP Shaw, C Munro, SS Iyer, RR Pant, GJ Maxwell, V Shankar, R Tewatia, LE Plunkett, A Mishra, Avesh Khan, TA Boult</t>
  </si>
  <si>
    <t>CA Lynn, SP Narine, RV Uthappa, N Rana, KD Karthik, Shubman Gill, AD Russell,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</si>
  <si>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</si>
  <si>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</si>
  <si>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</si>
  <si>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</si>
  <si>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</si>
  <si>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</si>
  <si>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SR Watson, F du Plessis, SK Raina, AT Rayudu, MS Dhoni, RA Jadeja, DJ Bravo, KV Sharma, Harbhajan Singh, KM Asif, L Ngidi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</si>
  <si>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</si>
  <si>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</si>
  <si>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</si>
  <si>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</si>
  <si>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</si>
  <si>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</si>
  <si>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</si>
  <si>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</si>
  <si>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</si>
  <si>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</si>
  <si>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</si>
  <si>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</si>
  <si>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</si>
  <si>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</si>
  <si>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</si>
  <si>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</si>
  <si>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</si>
  <si>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</si>
  <si>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</si>
  <si>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</si>
  <si>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</si>
  <si>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</si>
  <si>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Ishan Kishan</t>
  </si>
  <si>
    <t>Prakash Bhatt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</si>
  <si>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</si>
  <si>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</si>
  <si>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</si>
  <si>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</si>
  <si>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</si>
  <si>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</si>
  <si>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</si>
  <si>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</si>
  <si>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</si>
  <si>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</si>
  <si>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</si>
  <si>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</si>
  <si>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</si>
  <si>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</si>
  <si>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</si>
  <si>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</si>
  <si>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Kuldeep Yadav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</si>
  <si>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</si>
  <si>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</si>
  <si>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</si>
  <si>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</si>
  <si>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</si>
  <si>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</si>
  <si>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</si>
  <si>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</si>
  <si>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S Gopal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</si>
  <si>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</si>
  <si>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</si>
  <si>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</si>
  <si>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</si>
  <si>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</si>
  <si>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</si>
  <si>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L Ngidi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</si>
  <si>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</si>
  <si>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</si>
  <si>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</si>
  <si>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</si>
  <si>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</si>
  <si>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</si>
  <si>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</si>
  <si>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</si>
  <si>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</si>
  <si>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</si>
  <si>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</si>
  <si>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</si>
  <si>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</si>
  <si>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</si>
  <si>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Delhi Capitals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</si>
  <si>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</si>
  <si>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</si>
  <si>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</si>
  <si>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</si>
  <si>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</si>
  <si>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</si>
  <si>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</si>
  <si>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</si>
  <si>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</si>
  <si>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</si>
  <si>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</si>
  <si>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</si>
  <si>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</si>
  <si>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</si>
  <si>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PP Shaw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</si>
  <si>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</si>
  <si>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</si>
  <si>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JM Bairstow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</si>
  <si>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</si>
  <si>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</si>
  <si>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</si>
  <si>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</si>
  <si>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SM Curran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</si>
  <si>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</si>
  <si>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</si>
  <si>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</si>
  <si>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</si>
  <si>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</si>
  <si>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</si>
  <si>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</si>
  <si>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</si>
  <si>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</si>
  <si>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</si>
  <si>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</si>
  <si>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</si>
  <si>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</si>
  <si>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</si>
  <si>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</si>
  <si>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K Rabada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</si>
  <si>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</si>
  <si>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</si>
  <si>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</si>
  <si>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</si>
  <si>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</si>
  <si>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</si>
  <si>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</si>
  <si>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DL Chahar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</si>
  <si>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</si>
  <si>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</si>
  <si>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</si>
  <si>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</si>
  <si>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</si>
  <si>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</si>
  <si>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</si>
  <si>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</si>
  <si>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</si>
  <si>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</si>
  <si>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</si>
  <si>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</si>
  <si>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</si>
  <si>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</si>
  <si>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</si>
  <si>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</si>
  <si>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</si>
  <si>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</si>
  <si>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</si>
  <si>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</si>
  <si>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</si>
  <si>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</si>
  <si>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IJ Gould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</si>
  <si>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</si>
  <si>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</si>
  <si>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</si>
  <si>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</si>
  <si>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</si>
  <si>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</si>
  <si>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</si>
  <si>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</si>
  <si>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</si>
  <si>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</si>
  <si>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KK Ahmed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</si>
  <si>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</si>
  <si>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</si>
  <si>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</si>
  <si>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</si>
  <si>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</si>
  <si>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</si>
  <si>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</si>
  <si>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</si>
  <si>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</si>
  <si>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</si>
  <si>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</si>
  <si>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</si>
  <si>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</si>
  <si>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</si>
  <si>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</si>
  <si>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</si>
  <si>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</si>
  <si>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</si>
  <si>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</si>
  <si>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</si>
  <si>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</si>
  <si>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</si>
  <si>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</si>
  <si>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</si>
  <si>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</si>
  <si>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</si>
  <si>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</si>
  <si>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</si>
  <si>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Shubman Gill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</si>
  <si>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</si>
  <si>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</si>
  <si>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</si>
  <si>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</si>
  <si>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SO Hetmyer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</si>
  <si>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</si>
  <si>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</si>
  <si>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</si>
  <si>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</si>
  <si>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</si>
  <si>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</si>
  <si>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</si>
  <si>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</si>
  <si>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</si>
  <si>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</si>
  <si>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</si>
  <si>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</si>
  <si>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</si>
  <si>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</si>
  <si>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2020/21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</si>
  <si>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</si>
  <si>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</si>
  <si>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</si>
  <si>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</si>
  <si>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</si>
  <si>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</si>
  <si>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</si>
  <si>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</si>
  <si>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</si>
  <si>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</si>
  <si>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</si>
  <si>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</si>
  <si>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</si>
  <si>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</si>
  <si>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Shakti Singh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</si>
  <si>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</si>
  <si>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</si>
  <si>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</si>
  <si>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</si>
  <si>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 Padikkal, AJ Finch, V Kohli, AB de Villiers, S Dube, Gurkeerat Singh, Washington Sundar, I Udana, Navdeep Saini, YS Chahal, A Zampa</t>
  </si>
  <si>
    <t>RG Sharma, Q de Kock, SA Yadav, Ishan Kishan, HH Pandya, KA Pollard, KH Pandya, JL Pattinson, RD Chahar, TA Boult, JJ Bumrah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</si>
  <si>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</si>
  <si>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</si>
  <si>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Shivam Mavi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</si>
  <si>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</si>
  <si>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</si>
  <si>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</si>
  <si>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</si>
  <si>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</si>
  <si>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</si>
  <si>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</si>
  <si>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JC Buttler, SPD Smith, SV Samson, RV Uthappa, MK Lomror, R Parag, R Tewatia, JC Archer, TK Curran, S Gopal, JD Unadkat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</si>
  <si>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</si>
  <si>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</si>
  <si>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DA Warner, JM Bairstow, MK Pandey, KS Williamson, PK Garg, Abhishek Sharma, Abdul Samad, Rashid Khan, Sandeep Sharma, S Kaul, T Natarajan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</si>
  <si>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</si>
  <si>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</si>
  <si>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</si>
  <si>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</si>
  <si>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</si>
  <si>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</si>
  <si>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</si>
  <si>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</si>
  <si>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</si>
  <si>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</si>
  <si>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</si>
  <si>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</si>
  <si>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</si>
  <si>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</si>
  <si>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</si>
  <si>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</si>
  <si>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R Tewatia</t>
  </si>
  <si>
    <t>DA Warner, JM Bairstow, MK Pandey, KS Williamson, PK Garg, V Shankar, Abhishek Sharma, Rashid Khan, Sandeep Sharma, KK Ahmed, T Natarajan</t>
  </si>
  <si>
    <t>BA Stokes, JC Buttler, SPD Smith, SV Samson, RV Uthappa, R Parag, R Tewatia, JC Archer, S Gopal, JD Unadkat, Kartik Tyagi</t>
  </si>
  <si>
    <t>PP Shaw, S Dhawan, AM Rahane, SS Iyer, MP Stoinis, AT Carey, AR Patel, R Ashwin, HV Patel, K Rabada, A Nortje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</si>
  <si>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</si>
  <si>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</si>
  <si>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</si>
  <si>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</si>
  <si>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 Nortje</t>
  </si>
  <si>
    <t>PP Shaw, S Dhawan, AM Rahane, SS Iyer, MP Stoinis, AT Carey, AR Patel, R Ashwin, TU Deshpande, K Rabada, A Nortje</t>
  </si>
  <si>
    <t>AJ Finch, D Padikkal, V Kohli, Washington Sundar, S Dube, AB de Villiers, CH Morris, I Udana, Navdeep Saini, YS Chahal, Mohammed Siraj</t>
  </si>
  <si>
    <t>KL Rahul, MA Agarwal, CH Gayle, N Pooran, GJ Maxwell, DJ Hooda, CJ Jordan, M Ashwin, Ravi Bishnoi, Mohammed Shami, Arshdeep Singh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</si>
  <si>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</si>
  <si>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</si>
  <si>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</si>
  <si>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</si>
  <si>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SM Curran, F du Plessis, SR Watson, AT Rayudu, MS Dhoni, RA Jadeja, KM Jadhav, DJ Bravo, DL Chahar, SN Thakur, KV Sharma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</si>
  <si>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</si>
  <si>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</si>
  <si>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RG Sharma, Q de Kock, SA Yadav, Ishan Kishan, KH Pandya, HH Pandya, KA Pollard, NM Coulter-Nile, RD Chahar, TA Boult, JJ Bumrah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</si>
  <si>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</si>
  <si>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</si>
  <si>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</si>
  <si>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</si>
  <si>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</si>
  <si>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</si>
  <si>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</si>
  <si>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</si>
  <si>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</si>
  <si>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</si>
  <si>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CV Varun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</si>
  <si>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</si>
  <si>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</si>
  <si>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</si>
  <si>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KL Rahul, Mandeep Singh, CH Gayle, N Pooran, GJ Maxwell, DJ Hooda, CJ Jordan, M Ashwin, Ravi Bishnoi, Mohammed Shami, Arshdeep Singh</t>
  </si>
  <si>
    <t>DA Warner, JM Bairstow, MK Pandey, Abdul Samad, V Shankar, JO Holder, PK Garg, Rashid Khan, Sandeep Sharma, T Natarajan, KK Ahmed</t>
  </si>
  <si>
    <t>RD Gaikwad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</si>
  <si>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</si>
  <si>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</si>
  <si>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</si>
  <si>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</si>
  <si>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EJG Morgan, SP Narine, KL Nagarkoti, PJ Cummins, LH Ferguson, CV Varun, M Prasidh Krishna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</si>
  <si>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</si>
  <si>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</si>
  <si>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</si>
  <si>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</si>
  <si>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</si>
  <si>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</si>
  <si>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RV Uthappa, BA Stokes, SV Samson, SPD Smith, JC Buttler, R Parag, R Tewatia, JC Archer, S Gopal, Kartik Tyagi, VR Aaron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</si>
  <si>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</si>
  <si>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</si>
  <si>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</si>
  <si>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</si>
  <si>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</si>
  <si>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</si>
  <si>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PJ Cummins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</si>
  <si>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</si>
  <si>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</si>
  <si>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</si>
  <si>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</si>
  <si>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</si>
  <si>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</si>
  <si>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</si>
  <si>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</si>
  <si>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</si>
  <si>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</si>
  <si>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</si>
  <si>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</si>
  <si>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</si>
  <si>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</si>
  <si>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MA Chidambaram Stadium, Chepauk, Chennai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</si>
  <si>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</si>
  <si>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</si>
  <si>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Wankhede Stadium, Mumbai</t>
  </si>
  <si>
    <t>RD Gaikwad, F du Plessis, MM Ali, SK Raina, AT Rayudu, RA Jadeja, MS Dhoni, SM Curran, DJ Bravo, SN Thakur, DL Chahar</t>
  </si>
  <si>
    <t>PP Shaw, S Dhawan, RR Pant, MP Stoinis, SO Hetmyer, AM Rahane, CR Woakes, TK Curran, R Ashwin, A Mishra, Avesh Khan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</si>
  <si>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</si>
  <si>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</si>
  <si>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Punjab Kings</t>
  </si>
  <si>
    <t>KL Rahul, MA Agarwal, CH Gayle, DJ Hooda, N Pooran, M Shahrukh Khan, JA Richardson, M Ashwin, Mohammed Shami, RP Meredith, Arshdeep Singh</t>
  </si>
  <si>
    <t>BA Stokes, M Vohra, SV Samson, JC Buttler, S Dube, R Parag, R Tewatia, CH Morris, S Gopal, C Sakariya, Mustafizur Rahman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</si>
  <si>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</si>
  <si>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</si>
  <si>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</si>
  <si>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</si>
  <si>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</si>
  <si>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PP Shaw, S Dhawan, AM Rahane, RR Pant, MP Stoinis, Lalit Yadav, TK Curran, CR Woakes, R Ashwin, K Rabada, Avesh Khan</t>
  </si>
  <si>
    <t>JC Buttler, M Vohra, SV Samson, S Dube, DA Miller, R Parag, R Tewatia, CH Morris, JD Unadkat, C Sakariya, Mustafizur Rahman</t>
  </si>
  <si>
    <t>RD Gaikwad, F du Plessis, MM Ali, SK Raina, AT Rayudu, SM Curran, RA Jadeja, MS Dhoni, DJ Bravo, SN Thakur, DL Chahar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</si>
  <si>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</si>
  <si>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</si>
  <si>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</si>
  <si>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</si>
  <si>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</si>
  <si>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</si>
  <si>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MM Ali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</si>
  <si>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</si>
  <si>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</si>
  <si>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</si>
  <si>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</si>
  <si>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</si>
  <si>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</si>
  <si>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D Padikkal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</si>
  <si>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</si>
  <si>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</si>
  <si>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</si>
  <si>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</si>
  <si>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</si>
  <si>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</si>
  <si>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</si>
  <si>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</si>
  <si>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</si>
  <si>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</si>
  <si>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Narendra Modi Stadium, Ahmedabad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</si>
  <si>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</si>
  <si>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</si>
  <si>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</si>
  <si>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</si>
  <si>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Arun Jaitley Stadium, Delhi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</si>
  <si>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</si>
  <si>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</si>
  <si>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</si>
  <si>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</si>
  <si>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</si>
  <si>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</si>
  <si>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Harpreet Brar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</si>
  <si>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</si>
  <si>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</si>
  <si>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</si>
  <si>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</si>
  <si>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</si>
  <si>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</si>
  <si>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</si>
  <si>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</si>
  <si>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Dubai</t>
  </si>
  <si>
    <t>RD Gaikwad, F du Plessis, MM Ali, AT Rayudu, SK Raina, MS Dhoni, RA Jadeja, DJ Bravo, SN Thakur, DL Chahar, JR Hazlewood</t>
  </si>
  <si>
    <t>Q de Kock, Anmolpreet Singh, SA Yadav, Ishan Kishan, SS Tiwary, KA Pollard, KH Pandya, AF Milne, RD Chahar, JJ Bumrah, TA Boult</t>
  </si>
  <si>
    <t>Zayed Cricket Stadium, Abu Dhabi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</si>
  <si>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</si>
  <si>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</si>
  <si>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Kartik Tyagi</t>
  </si>
  <si>
    <t>MA Gough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</si>
  <si>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</si>
  <si>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</si>
  <si>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DA Warner, WP Saha, KS Williamson, MK Pandey, KM Jadhav, Abdul Samad, JO Holder, Rashid Khan, B Kumar, Sandeep Sharma, KK Ahmed</t>
  </si>
  <si>
    <t>PP Shaw, S Dhawan, SS Iyer, RR Pant, MP Stoinis, SO Hetmyer, AR Patel, R Ashwin, K Rabada, A Nortje, Avesh Khan</t>
  </si>
  <si>
    <t>RG Sharma, Q de Kock, SA Yadav, Ishan Kishan, KA Pollard, KH Pandya, SS Tiwary, AF Milne, RD Chahar, JJ Bumrah, TA Boult</t>
  </si>
  <si>
    <t>Shubman Gill, VR Iyer, RA Tripathi, EJG Morgan, N Rana, AD Russell, KD Karthik, SP Narine, LH Ferguson, M Prasidh Krishna, CV Varun</t>
  </si>
  <si>
    <t>Sharjah</t>
  </si>
  <si>
    <t>V Kohli, D Padikkal, AB de Villiers, GJ Maxwell, TH David, HV Patel, PWH de Silva, KS Bharat, Navdeep Saini, Mohammed Siraj, YS Chahal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</si>
  <si>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</si>
  <si>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</si>
  <si>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</si>
  <si>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</si>
  <si>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RD Gaikwad, F du Plessis, MM Ali, AT Rayudu, SK Raina, MS Dhoni, RA Jadeja, SM Curran, SN Thakur, DL Chahar, JR Hazlewood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</si>
  <si>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</si>
  <si>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</si>
  <si>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</si>
  <si>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</si>
  <si>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</si>
  <si>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</si>
  <si>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</si>
  <si>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</si>
  <si>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</si>
  <si>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</si>
  <si>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JR Hazlewood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</si>
  <si>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</si>
  <si>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</si>
  <si>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</si>
  <si>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</si>
  <si>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</si>
  <si>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</si>
  <si>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</si>
  <si>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</si>
  <si>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</si>
  <si>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</si>
  <si>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</si>
  <si>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</si>
  <si>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</si>
  <si>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</si>
  <si>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</si>
  <si>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</si>
  <si>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</si>
  <si>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</si>
  <si>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</si>
  <si>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</si>
  <si>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</si>
  <si>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</si>
  <si>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</si>
  <si>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</si>
  <si>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</si>
  <si>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</si>
  <si>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</si>
  <si>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</si>
  <si>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</si>
  <si>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</si>
  <si>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</si>
  <si>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VR Iyer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</si>
  <si>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</si>
  <si>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</si>
  <si>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</si>
  <si>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</si>
  <si>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Chirra Ravikanthreddy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</si>
  <si>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</si>
  <si>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</si>
  <si>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</si>
  <si>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</si>
  <si>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Dr DY Patil Sports Academy, Mumbai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</si>
  <si>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</si>
  <si>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</si>
  <si>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</si>
  <si>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Lucknow Super Giants</t>
  </si>
  <si>
    <t>Gujarat Titans</t>
  </si>
  <si>
    <t>DS Manohar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</si>
  <si>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</si>
  <si>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</si>
  <si>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Maharashtra Cricket Association Stadium, Pune</t>
  </si>
  <si>
    <t>MV Saidharshan Kumar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</si>
  <si>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</si>
  <si>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</si>
  <si>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PWH de Silva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</si>
  <si>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</si>
  <si>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</si>
  <si>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</si>
  <si>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</si>
  <si>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</si>
  <si>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 Totre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</si>
  <si>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</si>
  <si>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</si>
  <si>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JC Buttler, YBK Jaiswal, D Padikkal, SV Samson, SO Hetmyer, R Parag, R Ashwin, Navdeep Saini, TA Boult, YS Chahal, M Prasidh Krishna</t>
  </si>
  <si>
    <t>Ishan Kishan, RG Sharma, Anmolpreet Singh, Tilak Varma, KA Pollard, TH David, DR Sams, M Ashwin, JJ Bumrah, TS Mills, Basil Thampi</t>
  </si>
  <si>
    <t>Vinod Seshan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</si>
  <si>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</si>
  <si>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</si>
  <si>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</si>
  <si>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</si>
  <si>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</si>
  <si>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Avesh Khan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</si>
  <si>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</si>
  <si>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</si>
  <si>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F du Plessis, Anuj Rawat, V Kohli, DJ Willey, SE Rutherford, Shahbaz Ahmed, KD Karthik, HV Patel, PWH de Silva, Mohammed Siraj, Akash Deep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</si>
  <si>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</si>
  <si>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</si>
  <si>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</si>
  <si>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</si>
  <si>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</si>
  <si>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</si>
  <si>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Abhishek Sharma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</si>
  <si>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</si>
  <si>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</si>
  <si>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</si>
  <si>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</si>
  <si>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</si>
  <si>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</si>
  <si>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</si>
  <si>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</si>
  <si>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</si>
  <si>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</si>
  <si>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</si>
  <si>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S Dube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</si>
  <si>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</si>
  <si>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</si>
  <si>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</si>
  <si>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</si>
  <si>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</si>
  <si>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</si>
  <si>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</si>
  <si>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</si>
  <si>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</si>
  <si>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</si>
  <si>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</si>
  <si>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</si>
  <si>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Umran Malik</t>
  </si>
  <si>
    <t>S Dhawan, P Simran Singh, JM Bairstow, LS Livingstone, JM Sharma, M Shahrukh Khan, OF Smith, K Rabada, RD Chahar, VG Arora, Arshdeep Singh</t>
  </si>
  <si>
    <t>Abhishek Sharma, KS Williamson, RA Tripathi, AK Markram, N Pooran, Shashank Singh, J Suchith, B Kumar, M Jansen, T Natarajan, Umran Malik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</si>
  <si>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</si>
  <si>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</si>
  <si>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JC Buttler, D Padikkal, SV Samson, SO Hetmyer, R Parag, KK Nair, R Ashwin, TA Boult, OC McCoy, M Prasidh Krishna, YS Chahal</t>
  </si>
  <si>
    <t>AJ Finch, SP Narine, SS Iyer, N Rana, AD Russell, VR Iyer, SP Jackson, Shivam Mavi, PJ Cummins, UT Yadav, CV Varun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</si>
  <si>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</si>
  <si>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</si>
  <si>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</si>
  <si>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</si>
  <si>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Navi Mumbai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</si>
  <si>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</si>
  <si>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</si>
  <si>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</si>
  <si>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PP Shaw, DA Warner, SN Khan, RR Pant, Lalit Yadav, AR Patel, SN Thakur, R Powell, Kuldeep Yadav, Mustafizur Rahman, KK Ahmed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</si>
  <si>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</si>
  <si>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</si>
  <si>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M Jansen</t>
  </si>
  <si>
    <t>F du Plessis, Anuj Rawat, V Kohli, GJ Maxwell, SS Prabhudessai, Shahbaz Ahmed, KD Karthik, HV Patel, PWH de Silva, JR Hazlewood, Mohammed Siraj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</si>
  <si>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</si>
  <si>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</si>
  <si>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</si>
  <si>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</si>
  <si>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R Parag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</si>
  <si>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</si>
  <si>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</si>
  <si>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</si>
  <si>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</si>
  <si>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</si>
  <si>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</si>
  <si>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</si>
  <si>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</si>
  <si>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</si>
  <si>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</si>
  <si>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</si>
  <si>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</si>
  <si>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</si>
  <si>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</si>
  <si>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</si>
  <si>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</si>
  <si>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</si>
  <si>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RK Singh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</si>
  <si>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</si>
  <si>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</si>
  <si>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</si>
  <si>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</si>
  <si>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</si>
  <si>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</si>
  <si>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</si>
  <si>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</si>
  <si>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TH David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</si>
  <si>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</si>
  <si>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</si>
  <si>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YBK Jaiswal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</si>
  <si>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</si>
  <si>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</si>
  <si>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</si>
  <si>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</si>
  <si>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</si>
  <si>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</si>
  <si>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DP Conway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</si>
  <si>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</si>
  <si>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</si>
  <si>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</si>
  <si>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</si>
  <si>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WP Saha, Shubman Gill, MS Wade, HH Pandya, DA Miller, R Tewatia, Rashid Khan, R Sai Kishore, AS Joseph, Yash Dayal, Mohammed Shami</t>
  </si>
  <si>
    <t>Q de Kock, KL Rahul, DJ Hooda, KS Sharma, KH Pandya, A Badoni, MP Stoinis, JO Holder, Mohsin Khan, PVD Chameera, Avesh Khan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</si>
  <si>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</si>
  <si>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</si>
  <si>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</si>
  <si>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</si>
  <si>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</si>
  <si>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JM Bairstow, S Dhawan, PBB Rajapaksa, LS Livingstone, MA Agarwal, JM Sharma, Harpreet Brar, R Dhawan, RD Chahar, K Rabada, Arshdeep Singh</t>
  </si>
  <si>
    <t>V Kohli, F du Plessis, RM Patidar, MK Lomror, GJ Maxwell, KD Karthik, Shahbaz Ahmed, HV Patel, PWH de Silva, Mohammed Siraj, JR Hazlewood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</si>
  <si>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</si>
  <si>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</si>
  <si>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RD Gaikwad, DP Conway, MM Ali, N Jagadeesan, S Dube, MS Dhoni, MJ Santner, PH Solanki, Simarjeet Singh, M Pathirana, Mukesh Choudhary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</si>
  <si>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</si>
  <si>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</si>
  <si>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SN Thakur</t>
  </si>
  <si>
    <t>DA Warner, SN Khan, MR Marsh, Lalit Yadav, RR Pant, R Powell, AR Patel, SN Thakur, Kuldeep Yadav, A Nortje, KK Ahmed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</si>
  <si>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</si>
  <si>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</si>
  <si>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</si>
  <si>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</si>
  <si>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WP Saha, Shubman Gill, MS Wade, HH Pandya, DA Miller, R Tewatia, Rashid Khan, R Sai Kishore, LH Ferguson, Yash Dayal, Mohammed Shami</t>
  </si>
  <si>
    <t>V Kohli, F du Plessis, GJ Maxwell, KD Karthik, RM Patidar, MK Lomror, Shahbaz Ahmed, HV Patel, PWH de Silva, JR Hazlewood, S Kaul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</si>
  <si>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</si>
  <si>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</si>
  <si>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</si>
  <si>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</si>
  <si>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</si>
  <si>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</si>
  <si>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Eden Gardens, Kolkata</t>
  </si>
  <si>
    <t>YBK Jaiswal, JC Buttler, SV Samson, D Padikkal, SO Hetmyer, R Parag, R Ashwin, TA Boult, YS Chahal, M Prasidh Krishna, OC McCoy</t>
  </si>
  <si>
    <t>RM Patidar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</si>
  <si>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</si>
  <si>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</si>
  <si>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V Kohli, F du Plessis, RM Patidar, GJ Maxwell, MK Lomror, KD Karthik, Shahbaz Ahmed, PWH de Silva, HV Patel, JR Hazlewood, Mohammed Siraj</t>
  </si>
  <si>
    <t>YBK Jaiswal, JC Buttler, SV Samson, D Padikkal, SO Hetmyer, R Ashwin, R Parag, TA Boult, OC McCoy, M Prasidh Krishna, YS Chahal</t>
  </si>
  <si>
    <t>A Bengeri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</si>
  <si>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</si>
  <si>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</si>
  <si>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Punjab Cricket Association IS Bindra Stadium, Mohali, Chandigarh</t>
  </si>
  <si>
    <t>Arshdeep Singh</t>
  </si>
  <si>
    <t>PM Joshi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</si>
  <si>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</si>
  <si>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</si>
  <si>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Lucknow</t>
  </si>
  <si>
    <t>Bharat Ratna Shri Atal Bihari Vajpayee Ekana Cricket Stadium, Lucknow</t>
  </si>
  <si>
    <t>MA Wood</t>
  </si>
  <si>
    <t>M Kuppuraj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</si>
  <si>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</si>
  <si>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</si>
  <si>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Rajiv Gandhi International Stadium, Uppal, Hyderabad</t>
  </si>
  <si>
    <t>Abhijit Bhattacharya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</si>
  <si>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</si>
  <si>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</si>
  <si>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M Chinnaswamy Stadium, Bengaluru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</si>
  <si>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</si>
  <si>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</si>
  <si>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</si>
  <si>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</si>
  <si>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B Sai Sudharsan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</si>
  <si>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</si>
  <si>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</si>
  <si>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Guwahati</t>
  </si>
  <si>
    <t>Barsapara Cricket Stadium, Guwahati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</si>
  <si>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</si>
  <si>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</si>
  <si>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</si>
  <si>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</si>
  <si>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</si>
  <si>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</si>
  <si>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</si>
  <si>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</si>
  <si>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</si>
  <si>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</si>
  <si>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</si>
  <si>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</si>
  <si>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</si>
  <si>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</si>
  <si>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</si>
  <si>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N Pooran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</si>
  <si>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</si>
  <si>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</si>
  <si>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</si>
  <si>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</si>
  <si>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</si>
  <si>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</si>
  <si>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R Seth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</si>
  <si>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</si>
  <si>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</si>
  <si>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</si>
  <si>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</si>
  <si>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</si>
  <si>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</si>
  <si>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</si>
  <si>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</si>
  <si>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</si>
  <si>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</si>
  <si>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</si>
  <si>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</si>
  <si>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</si>
  <si>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</si>
  <si>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</si>
  <si>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</si>
  <si>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C Green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</si>
  <si>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</si>
  <si>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</si>
  <si>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Sawai Mansingh Stadium, Jaipur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</si>
  <si>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</si>
  <si>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</si>
  <si>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</si>
  <si>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</si>
  <si>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</si>
  <si>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</si>
  <si>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</si>
  <si>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</si>
  <si>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</si>
  <si>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</si>
  <si>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</si>
  <si>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</si>
  <si>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HV Patel, V Kohli, F du Plessis, Shahbaz Ahmed, GJ Maxwell, MK Lomror, KD Karthik, SS Prabhudessai, PWH de Silva, DJ Willey, Vijaykumar Vyshak, Mohammed Siraj</t>
  </si>
  <si>
    <t>YBK Jaiswal, JC Buttler, D Padikkal, SV Samson, SO Hetmyer, Dhruv Jurel, R Ashwin, Abdul Basith, JO Holder, TA Boult, Sandeep Sharma, YS Chahal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</si>
  <si>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</si>
  <si>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</si>
  <si>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</si>
  <si>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</si>
  <si>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 Manohar</t>
  </si>
  <si>
    <t>SA Satbhai</t>
  </si>
  <si>
    <t>M Krishnadas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</si>
  <si>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</si>
  <si>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</si>
  <si>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Suyash Sharma, JJ Roy, N Jagadeesan, VR Iyer, N Rana, AD Russell, RK Singh, D Wiese, SP Narine, VG Arora, UT Yadav, CV Varun</t>
  </si>
  <si>
    <t>Mohamad Rafi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</si>
  <si>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</si>
  <si>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</si>
  <si>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VM Dhokre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</si>
  <si>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</si>
  <si>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</si>
  <si>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J Little</t>
  </si>
  <si>
    <t>Suyash Sharma, N Jagadeesan, Rahmanullah Gurbaz, SN Thakur, VR Iyer, N Rana, RK Singh, AD Russell, D Wiese, SP Narine, Harshit Rana, CV Varun</t>
  </si>
  <si>
    <t>MM Sharma, WP Saha, Shubman Gill, HH Pandya, V Shankar, DA Miller, A Manohar, R Tewatia, Rashid Khan, Noor Ahmad, Mohammed Shami, J Little</t>
  </si>
  <si>
    <t>P Joshi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</si>
  <si>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</si>
  <si>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</si>
  <si>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</si>
  <si>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</si>
  <si>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</si>
  <si>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</si>
  <si>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</si>
  <si>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</si>
  <si>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KK Ahmed, PD Salt, DA Warner, PK Garg, RR Rossouw, MK Pandey, AR Patel, Aman Hakim Khan, RV Patel, A Nortje, Kuldeep Yadav, I Sharma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</si>
  <si>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</si>
  <si>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</si>
  <si>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SS Raul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</si>
  <si>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</si>
  <si>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</si>
  <si>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</si>
  <si>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</si>
  <si>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</si>
  <si>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</si>
  <si>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M Pathirana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</si>
  <si>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</si>
  <si>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</si>
  <si>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PD Salt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</si>
  <si>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</si>
  <si>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</si>
  <si>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</si>
  <si>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</si>
  <si>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</si>
  <si>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</si>
  <si>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</si>
  <si>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</si>
  <si>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</si>
  <si>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RS Sodhi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</si>
  <si>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</si>
  <si>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</si>
  <si>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Sanjay Verma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</si>
  <si>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</si>
  <si>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</si>
  <si>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P Dharmani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</si>
  <si>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</si>
  <si>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</si>
  <si>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</si>
  <si>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</si>
  <si>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</si>
  <si>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</si>
  <si>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</si>
  <si>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P Simran Singh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</si>
  <si>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</si>
  <si>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</si>
  <si>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</si>
  <si>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</si>
  <si>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</si>
  <si>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</si>
  <si>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</si>
  <si>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</si>
  <si>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</si>
  <si>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</si>
  <si>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</si>
  <si>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Himachal Pradesh Cricket Association Stadium, Dharamsala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</si>
  <si>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</si>
  <si>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</si>
  <si>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</si>
  <si>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</si>
  <si>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</si>
  <si>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</si>
  <si>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</si>
  <si>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</si>
  <si>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</si>
  <si>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</si>
  <si>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</si>
  <si>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</si>
  <si>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</si>
  <si>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</si>
  <si>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</si>
  <si>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</si>
  <si>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</si>
  <si>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Akash Madhwal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</si>
  <si>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</si>
  <si>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</si>
  <si>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</si>
  <si>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</si>
  <si>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</si>
  <si>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</si>
  <si>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Royal Challengers Bengaluru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</si>
  <si>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</si>
  <si>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</si>
  <si>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Mohali</t>
  </si>
  <si>
    <t>Maharaja Yadavindra Singh International Cricket Stadium, Mullanpur</t>
  </si>
  <si>
    <t>AG Wharf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</si>
  <si>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</si>
  <si>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</si>
  <si>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</si>
  <si>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</si>
  <si>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</si>
  <si>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</si>
  <si>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</si>
  <si>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</si>
  <si>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</si>
  <si>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</si>
  <si>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</si>
  <si>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</si>
  <si>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</si>
  <si>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</si>
  <si>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</si>
  <si>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</si>
  <si>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</si>
  <si>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</si>
  <si>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MP Yadav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</si>
  <si>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</si>
  <si>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</si>
  <si>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</si>
  <si>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</si>
  <si>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Dr. Y.S. Rajasekhara Reddy ACA-VDCA Cricket Stadium, Visakhapatnam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</si>
  <si>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</si>
  <si>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</si>
  <si>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</si>
  <si>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</si>
  <si>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</si>
  <si>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</si>
  <si>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</si>
  <si>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</si>
  <si>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Shashank Singh</t>
  </si>
  <si>
    <t>MM Sharma, WP Saha, Shubman Gill, KS Williamson, B Sai Sudharsan, V Shankar, R Tewatia, Azmatullah Omarzai, Rashid Khan, Noor Ahmad, UT Yadav, DG Nalkande</t>
  </si>
  <si>
    <t>Arshdeep Singh, S Dhawan, JM Bairstow, P Simran Singh, SM Curran, Sikandar Raza, Shashank Singh, JM Sharma, Ashutosh Sharma, Harpreet Brar, HV Patel, K Rabada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</si>
  <si>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</si>
  <si>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</si>
  <si>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</si>
  <si>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</si>
  <si>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R Shepherd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</si>
  <si>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</si>
  <si>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</si>
  <si>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</si>
  <si>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</si>
  <si>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</si>
  <si>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</si>
  <si>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</si>
  <si>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Nithish Kumar Reddy</t>
  </si>
  <si>
    <t>TM Head, Abhishek Sharma, AK Markram, Nithish Kumar Reddy, RA Tripathi, H Klaasen, Abdul Samad, Shahbaz Ahmed, PJ Cummins, B Kumar, JD Unadkat, T Natarajan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</si>
  <si>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</si>
  <si>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</si>
  <si>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</si>
  <si>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</si>
  <si>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</si>
  <si>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</si>
  <si>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</si>
  <si>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</si>
  <si>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</si>
  <si>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</si>
  <si>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</si>
  <si>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</si>
  <si>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TM Head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</si>
  <si>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</si>
  <si>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</si>
  <si>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</si>
  <si>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</si>
  <si>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</si>
  <si>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</si>
  <si>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K Kelkar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</si>
  <si>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</si>
  <si>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</si>
  <si>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R Rajesh Kannan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</si>
  <si>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</si>
  <si>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</si>
  <si>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K Swaroopanand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</si>
  <si>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</si>
  <si>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</si>
  <si>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</si>
  <si>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</si>
  <si>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</si>
  <si>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</si>
  <si>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</si>
  <si>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</si>
  <si>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</si>
  <si>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</si>
  <si>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</si>
  <si>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</si>
  <si>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</si>
  <si>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</si>
  <si>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</si>
  <si>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</si>
  <si>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</si>
  <si>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</si>
  <si>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</si>
  <si>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</si>
  <si>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</si>
  <si>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</si>
  <si>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WG Jacks</t>
  </si>
  <si>
    <t>Bhavesh Patel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</si>
  <si>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</si>
  <si>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</si>
  <si>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</si>
  <si>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</si>
  <si>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</si>
  <si>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</si>
  <si>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</si>
  <si>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</si>
  <si>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</si>
  <si>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</si>
  <si>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</si>
  <si>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</si>
  <si>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</si>
  <si>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</si>
  <si>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</si>
  <si>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</si>
  <si>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</si>
  <si>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</si>
  <si>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</si>
  <si>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</si>
  <si>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</si>
  <si>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</si>
  <si>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</si>
  <si>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</si>
  <si>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</si>
  <si>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</si>
  <si>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</si>
  <si>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</si>
  <si>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</si>
  <si>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</si>
  <si>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</si>
  <si>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</si>
  <si>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</si>
  <si>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</si>
  <si>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</si>
  <si>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</si>
  <si>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</si>
  <si>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</si>
  <si>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</si>
  <si>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</si>
  <si>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</si>
  <si>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</si>
  <si>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</si>
  <si>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</si>
  <si>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</si>
  <si>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</si>
  <si>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</si>
  <si>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TM Head, Abhishek Sharma, RA Tripathi, Nithish Kumar Reddy, Shahbaz Ahmed, H Klaasen, Abdul Samad, Sanvir Singh, PJ Cummins, B Kumar, V Viyaskanth, T Natarajan</t>
  </si>
  <si>
    <t>Rahmanullah Gurbaz, SP Narine, VR Iyer, SS Iyer, RK Singh, AD Russell, Ramandeep Singh, MA Starc, VG Arora, Harshit Rana, CV Varun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</si>
  <si>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</si>
  <si>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</si>
  <si>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</si>
  <si>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</si>
  <si>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</si>
  <si>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Abhishek Sharma, TM Head, RA Tripathi, AK Markram, Nithish Kumar Reddy, H Klaasen, Shahbaz Ahmed, Abdul Samad, PJ Cummins, JD Unadkat, B Kumar, T Natarajan</t>
  </si>
  <si>
    <t>TM Srivastava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</si>
  <si>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</si>
  <si>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</si>
  <si>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AT Holdstock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</si>
  <si>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</si>
  <si>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</si>
  <si>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Noor Ahmad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</si>
  <si>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</si>
  <si>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</si>
  <si>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Ashutosh Sharma</t>
  </si>
  <si>
    <t>AK Argal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</si>
  <si>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</si>
  <si>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</si>
  <si>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</si>
  <si>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</si>
  <si>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</si>
  <si>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</si>
  <si>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</si>
  <si>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</si>
  <si>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Suyash Sharma, PD Salt, V Kohli, D Padikkal, RM Patidar, LS Livingstone, JM Sharma, TH David, KH Pandya, B Kumar, JR Hazlewood, Yash Dayal</t>
  </si>
  <si>
    <t>M Pathirana, R Ravindra, RA Tripathi, RD Gaikwad, DJ Hooda, SM Curran, S Dube, RA Jadeja, R Ashwin, MS Dhoni, Noor Ahmad, KK Ahmed</t>
  </si>
  <si>
    <t>M Prasidh Krishna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</si>
  <si>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</si>
  <si>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</si>
  <si>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</si>
  <si>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</si>
  <si>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</si>
  <si>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</si>
  <si>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</si>
  <si>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</si>
  <si>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</si>
  <si>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</si>
  <si>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</si>
  <si>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</si>
  <si>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</si>
  <si>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</si>
  <si>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</si>
  <si>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</si>
  <si>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</si>
  <si>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</si>
  <si>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</si>
  <si>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</si>
  <si>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</si>
  <si>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</si>
  <si>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</si>
  <si>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</si>
  <si>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</si>
  <si>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</si>
  <si>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</si>
  <si>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Anish Sahasrabudhe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</si>
  <si>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</si>
  <si>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</si>
  <si>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</si>
  <si>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</si>
  <si>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</si>
  <si>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</si>
  <si>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</si>
  <si>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</si>
  <si>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</si>
  <si>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</si>
  <si>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</si>
  <si>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</si>
  <si>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</si>
  <si>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</si>
  <si>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</si>
  <si>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</si>
  <si>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K Kartikeya, YBK Jaiswal, SV Samson, R Parag, Dhruv Jurel, SO Hetmyer, N Rana, PWH de Silva, JC Archer, M Theekshana, Sandeep Sharma, TU Deshpande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</si>
  <si>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</si>
  <si>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</si>
  <si>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</si>
  <si>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</si>
  <si>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</si>
  <si>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</si>
  <si>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</si>
  <si>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</si>
  <si>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</si>
  <si>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</si>
  <si>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</si>
  <si>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</si>
  <si>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</si>
  <si>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</si>
  <si>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</si>
  <si>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</si>
  <si>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KM Gandhi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</si>
  <si>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</si>
  <si>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</si>
  <si>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</si>
  <si>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</si>
  <si>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Amit Rana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</si>
  <si>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</si>
  <si>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</si>
  <si>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</si>
  <si>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</si>
  <si>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</si>
  <si>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IR Siddiqui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</si>
  <si>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</si>
  <si>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</si>
  <si>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</si>
  <si>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</si>
  <si>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</si>
  <si>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</si>
  <si>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</si>
  <si>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</si>
  <si>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</si>
  <si>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</si>
  <si>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</si>
  <si>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</si>
  <si>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</si>
  <si>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</si>
  <si>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</si>
  <si>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</si>
  <si>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</si>
  <si>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</si>
  <si>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</si>
  <si>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</si>
  <si>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</si>
  <si>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</si>
  <si>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</si>
  <si>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</si>
  <si>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</si>
  <si>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</si>
  <si>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</si>
  <si>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</si>
  <si>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</si>
  <si>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</si>
  <si>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</si>
  <si>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</si>
  <si>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A Kripal Singh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</si>
  <si>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</si>
  <si>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</si>
  <si>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</si>
  <si>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</si>
  <si>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</si>
  <si>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</si>
  <si>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</si>
  <si>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</si>
  <si>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</si>
  <si>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</si>
  <si>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</si>
  <si>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</si>
  <si>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</si>
  <si>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</si>
  <si>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</si>
  <si>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</si>
  <si>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</si>
  <si>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</si>
  <si>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</si>
  <si>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</si>
  <si>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</si>
  <si>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</si>
  <si>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</si>
  <si>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</si>
  <si>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</si>
  <si>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</si>
  <si>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H Klaasen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</si>
  <si>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</si>
  <si>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</si>
  <si>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JP Inglis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</si>
  <si>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</si>
  <si>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</si>
  <si>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JM Sharma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</si>
  <si>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</si>
  <si>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</si>
  <si>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New Chandigarh</t>
  </si>
  <si>
    <t>Suyash Sharma</t>
  </si>
  <si>
    <t>Priyansh Arya, P Simran Singh, JP Inglis, SS Iyer, N Wadhera, MP Stoinis, Shashank Singh, Musheer Khan, Azmatullah Omarzai, Harpreet Brar, KA Jamieson, Arshdeep Singh</t>
  </si>
  <si>
    <t>Suyash Sharma, PD Salt, V Kohli, MA Agarwal, RM Patidar, LS Livingstone, JM Sharma, R Shepherd, KH Pandya, B Kumar, Yash Dayal, JR Hazlewood</t>
  </si>
  <si>
    <t>Maharaja Yadavindra Singh International Cricket Stadium, 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</si>
  <si>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</si>
  <si>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</si>
  <si>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</si>
  <si>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</si>
  <si>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YS Chahal, Priyansh Arya, P Simran Singh, JP Inglis, SS Iyer, N Wadhera, Shashank Singh, MP Stoinis, Azmatullah Omarzai, KA Jamieson, Vijaykumar Vyshak, Arshdeep Singh</t>
  </si>
  <si>
    <t>JA Duffy</t>
  </si>
  <si>
    <t>TM Head, Abhishek Sharma, Ishan Kishan, Nithish Kumar Reddy, H Klaasen, S Arora, Aniket Verma, Harsh Dubey, HV Patel, DA Payne, JD Unadkat, E Malinga</t>
  </si>
  <si>
    <t>JA Duffy, PD Salt, V Kohli, D Padikkal, RM Patidar, JM Sharma, TH David, R Shepherd, KH Pandya, B Kumar, Abhinandan Singh, Suyash Sharma</t>
  </si>
  <si>
    <t>Kartik Tyagi, AM Rahane, FH Allen, C Green, A Raghuvanshi, RK Singh, Ramandeep Singh, AS Roy, SP Narine, CV Varun, VG Arora, B Muzarabani</t>
  </si>
  <si>
    <t>JJ Bumrah, RD Rickelton, RG Sharma, SA Yadav, Tilak Varma, HH Pandya, Naman Dhir, SE Rutherford, SN Thakur, M Markande, AM Ghazanfar, TA Boult</t>
  </si>
  <si>
    <t>N Burger</t>
  </si>
  <si>
    <t>SV Samson, RD Gaikwad, A Mhatre, MW Short, SN Khan, Kartik Sharma, S Dube, J Overton, Noor Ahmad, MJ Henry, A Kamboj, KK Ahmed</t>
  </si>
  <si>
    <t>YBK Jaiswal, V Suryavanshi, Dhruv Jurel, R Parag, SO Hetmyer, RA Jadeja, JC Archer, N Burger, Sandeep Sharma, Ravi Bishnoi, Brijesh Sharma</t>
  </si>
  <si>
    <t>C Connolly</t>
  </si>
  <si>
    <t>M Prasidh Krishna, B Sai Sudharsan, Shubman Gill, JC Buttler, GD Phillips, Washington Sundar, M Shahrukh Khan, R Tewatia, Rashid Khan, K Rabada, Ashok Sharma, Mohammed Siraj</t>
  </si>
  <si>
    <t>YS Chahal, Priyansh Arya, P Simran Singh, C Connolly, SS Iyer, N Wadhera, Shashank Singh, MP Stoinis, M Jansen, XC Bartlett, Vijaykumar Vyshak, Arshdeep Singh</t>
  </si>
  <si>
    <t>MR Marsh, RR Pant, AK Markram, A Badoni, N Pooran, Abdul Samad, MD Choudhary, Shahbaz Ahmed, Mohammed Shami, A Nortje, Mohsin Khan, Prince Yadav</t>
  </si>
  <si>
    <t>T Natarajan, KL Rahul, P Nissanka, N Rana, Sameer Rizvi, AR Patel, T Stubbs, V Nigam, DA Miller, L Ngidi, Kuldeep Yadav, Mukesh Kumar</t>
  </si>
  <si>
    <t>TM Head, Abhishek Sharma, Ishan Kishan, H Klaasen, Aniket Verma, Nithish Kumar Reddy, S Arora, Harsh Dubey, Shivang Kumar, JD Unadkat, DA Payne, E Malinga</t>
  </si>
  <si>
    <t>FH Allen, AM Rahane, A Raghuvanshi, C Green, RK Singh, AS Roy, Ramandeep Singh, SP Narine, Kartik Tyagi, VG Arora, CV Varun, B Muzarabani</t>
  </si>
  <si>
    <t>RD Chahar, SV Samson, RD Gaikwad, A Mhatre, S Dube, Kartik Sharma, SN Khan, PR Veer, Noor Ahmad, A Kamboj, MJ Henry, KK Ahmed</t>
  </si>
  <si>
    <t>M Markande, RD Rickelton, RG Sharma, Tilak Varma, SA Yadav, SE Rutherford, Naman Dhir, MJ Santner, C Bosch, SN Thakur, DL Chahar, JJ Bumrah</t>
  </si>
  <si>
    <t>Mukesh Kumar, KL Rahul, P Nissanka, N Rana, Sameer Rizvi, DA Miller, T Stubbs, V Nigam, AR Patel, Kuldeep Yadav, L Ngidi, T Natarajan</t>
  </si>
  <si>
    <t>Ravi Bishnoi</t>
  </si>
  <si>
    <t>Ravi Bishnoi, YBK Jaiswal, V Suryavanshi, Dhruv Jurel, R Parag, SO Hetmyer, D Ferreira, RA Jadeja, JC Archer, N Burger, TU Deshpande, Sandeep Sharma</t>
  </si>
  <si>
    <t>M Prasidh Krishna, B Sai Sudharsan, Kumar Kushagra, JC Buttler, GD Phillips, Washington Sundar, R Tewatia, M Shahrukh Khan, Rashid Khan, K Rabada, Ashok Sharma, Mohammed Siraj</t>
  </si>
  <si>
    <t>E Malinga, TM Head, Abhishek Sharma, Ishan Kishan, LS Livingstone, H Klaasen, Nithish Kumar Reddy, Aniket Verma, Harsh Dubey, Shivang Kumar, HV Patel, JD Unadkat</t>
  </si>
  <si>
    <t>Mohammed Shami, AK Markram, MR Marsh, RR Pant, A Badoni, N Pooran, Abdul Samad, MD Choudhary, M Siddharth, Avesh Khan, DS Rathi, Prince Yadav</t>
  </si>
  <si>
    <t>Suyash Sharma, PD Salt, V Kohli, D Padikkal, RM Patidar, TH David, JM Sharma, R Shepherd, KH Pandya, B Kumar, Abhinandan Singh, JA Duffy</t>
  </si>
  <si>
    <t>KK Ahmed, SV Samson, RD Gaikwad, A Mhatre, SN Khan, Kartik Sharma, S Dube, PR Veer, J Overton, A Kamboj, Noor Ahmad, MJ Henry</t>
  </si>
  <si>
    <t>AM Rahane, FH Allen, C Green, A Raghuvanshi, R Powell, RK Singh, Ramandeep Singh, AS Roy, Navdeep Saini, VG Arora, Kartik Tyagi</t>
  </si>
  <si>
    <t>SS Iyer, P Simran Singh, N Wadhera, C Connolly, Shashank Singh, MP Stoinis, M Jansen, Vijaykumar Vyshak, XC Bartlett, Arshdeep Singh, YS Chahal</t>
  </si>
  <si>
    <t>Ravi Bishnoi, YBK Jaiswal, V Suryavanshi, Dhruv Jurel, R Parag, SO Hetmyer, RA Jadeja, D Ferreira, JC Archer, N Burger, TU Deshpande, Sandeep Sharma</t>
  </si>
  <si>
    <t>AM Ghazanfar, RD Rickelton, RG Sharma, SA Yadav, Tilak Varma, HH Pandya, Naman Dhir, SE Rutherford, SN Thakur, DL Chahar, TA Boult, JJ Bumrah</t>
  </si>
  <si>
    <t>M Shahrukh Khan, B Sai Sudharsan, Shubman Gill, JC Buttler, Washington Sundar, GD Phillips, R Tewatia, Rashid Khan, K Rabada, Mohammed Siraj, Ashok Sharma, M Prasidh Krishna</t>
  </si>
  <si>
    <t>Mukesh Kumar, P Nissanka, KL Rahul, N Rana, Sameer Rizvi, DA Miller, AR Patel, T Stubbs, V Nigam, Kuldeep Yadav, L Ngidi, T Natarajan</t>
  </si>
  <si>
    <t>MD Choudhary</t>
  </si>
  <si>
    <t>VG Arora, AM Rahane, FH Allen, A Raghuvanshi, C Green, RK Singh, R Powell, Ramandeep Singh, AS Roy, SP Narine, Navdeep Saini, Kartik Tyagi</t>
  </si>
  <si>
    <t>M Siddharth, MR Marsh, AK Markram, RR Pant, A Badoni, N Pooran, Abdul Samad, MD Choudhary, Mohammed Shami, Avesh Khan, DS Rathi, Prince Yadav</t>
  </si>
  <si>
    <t>PD Salt, V Kohli, D Padikkal, RM Patidar, KH Pandya, JM Sharma, TH David, R Shepherd, VR Iyer, B Kumar, Abhinandan Singh, JR Hazlewood</t>
  </si>
  <si>
    <t>Sandeep Sharma, YBK Jaiswal, V Suryavanshi, Dhruv Jurel, SO Hetmyer, R Parag, RA Jadeja, D Ferreira, Ravi Bishnoi, JC Archer, N Burger, Brijesh Sharma</t>
  </si>
  <si>
    <t>JD Unadkat, Abhishek Sharma, TM Head, Ishan Kishan, H Klaasen, Aniket Verma, S Arora, Nithish Kumar Reddy, Harsh Dubey, Shivang Kumar, HV Patel, E Malinga</t>
  </si>
  <si>
    <t>AJ Hosein, SV Samson, RD Gaikwad, A Mhatre, S Dube, SN Khan, D Brevis, J Overton, Noor Ahmad, A Kamboj, Gurjapneet Singh, KK Ahmed</t>
  </si>
  <si>
    <t>Mukesh Kumar, P Nissanka, KL Rahul, Sameer Rizvi, AR Patel, DA Miller, T Stubbs, Ashutosh Sharma, Auqib Nabi, Kuldeep Yadav, L Ngidi, T Natarajan</t>
  </si>
  <si>
    <t>AK Markram, MR Marsh, RR Pant, A Badoni, N Pooran, Abdul Samad, MD Choudhary, GF Linde, Mohammed Shami, Avesh Khan, DS Rathi, Prince Yadav</t>
  </si>
  <si>
    <t>Mohammed Siraj, B Sai Sudharsan, Shubman Gill, JC Buttler, Washington Sundar, R Tewatia, GD Phillips, Rashid Khan, K Rabada, Ashok Sharma, M Prasidh Krishna, M Shahrukh Khan</t>
  </si>
  <si>
    <t>Rasikh Salam, PD Salt, V Kohli, RM Patidar, TH David, JM Sharma, R Shepherd, D Padikkal, KH Pandya, B Kumar, JA Duffy, Suyash Sharma</t>
  </si>
  <si>
    <t>M Markande, RD Rickelton, RG Sharma, SA Yadav, Tilak Varma, HH Pandya, SE Rutherford, Naman Dhir, MJ Santner, SN Thakur, JJ Bumrah, TA Boult</t>
  </si>
  <si>
    <t>PP Hinge</t>
  </si>
  <si>
    <t>Sakib Hussain, Abhishek Sharma, TM Head, Ishan Kishan, H Klaasen, Nithish Kumar Reddy, S Arora, Aniket Verma, Harsh Dubey, Shivang Kumar, PP Hinge, E Malinga</t>
  </si>
  <si>
    <t>Sandeep Sharma, YBK Jaiswal, V Suryavanshi, Dhruv Jurel, LG Pretorius, R Parag, RA Jadeja, D Ferreira, JC Archer, TU Deshpande, Ravi Bishnoi, N Burger</t>
  </si>
  <si>
    <t>AJ Hosein, SV Samson, RD Gaikwad, A Mhatre, D Brevis, SN Khan, S Dube, J Overton, Noor Ahmad, A Kamboj, Gurjapneet Singh, KK Ahmed</t>
  </si>
  <si>
    <t>CV Varun, FH Allen, SP Narine, AM Rahane, A Raghuvanshi, RK Singh, C Green, R Powell, Ramandeep Singh, AS Roy, VG Arora, Kartik Tyagi</t>
  </si>
  <si>
    <t>MR Marsh, AK Markram, RR Pant, N Pooran, A Badoni, Abdul Samad, MD Choudhary, GF Linde, Mohammed Shami, Avesh Khan, DS Rathi, Prince Yadav</t>
  </si>
  <si>
    <t>Suyash Sharma, PD Salt, V Kohli, D Padikkal, RM Patidar, JM Sharma, TH David, R Shepherd, KH Pandya, B Kumar, Rasikh Salam, JR Hazlewood</t>
  </si>
  <si>
    <t>AM Ghazanfar, RD Rickelton, Q de Kock, SA Yadav, Naman Dhir, HH Pandya, SE Rutherford, Tilak Varma, Mayank Rawat, SN Thakur, DL Chahar, JJ Bumrah</t>
  </si>
  <si>
    <t>Priyansh Arya, P Simran Singh, C Connolly, SS Iyer, MP Stoinis, Shashank Singh, M Jansen, XC Bartlett, Vijaykumar Vyshak, Arshdeep Singh, YS Chahal</t>
  </si>
  <si>
    <t>CV Varun, TL Seifert, AM Rahane, A Raghuvanshi, C Green, R Powell, AS Roy, RK Singh, Ramandeep Singh, SP Narine, Kartik Tyagi, VG Arora</t>
  </si>
  <si>
    <t>M Prasidh Krishna, B Sai Sudharsan, Shubman Gill, JC Buttler, Washington Sundar, GD Phillips, R Tewatia, M Shahrukh Khan, Rashid Khan, Ashok Sharma, K Rabada, Mohammed Siraj</t>
  </si>
  <si>
    <t>T Stubbs</t>
  </si>
  <si>
    <t>PD Salt, V Kohli, D Padikkal, RM Patidar, TH David, JM Sharma, R Shepherd, KH Pandya, Rasikh Salam, B Kumar, Suyash Sharma, JR Hazlewood</t>
  </si>
  <si>
    <t>Mukesh Kumar, P Nissanka, KL Rahul, KK Nair, Sameer Rizvi, T Stubbs, AR Patel, DA Miller, Auqib Nabi, L Ngidi, Kuldeep Yadav, T Natarajan</t>
  </si>
  <si>
    <t>E Malinga</t>
  </si>
  <si>
    <t>Abhishek Sharma, TM Head, Ishan Kishan, H Klaasen, Aniket Verma, Nithish Kumar Reddy, S Arora, LS Livingstone, Shivang Kumar, PP Hinge, Sakib Hussain, E Malinga</t>
  </si>
  <si>
    <t>Gurjapneet Singh, SV Samson, RD Gaikwad, A Mhatre, MW Short, SN Khan, D Brevis, S Dube, J Overton, A Kamboj, Noor Ahmad, Mukesh Choudhary</t>
  </si>
  <si>
    <t>Yash Raj Punja, YBK Jaiswal, V Suryavanshi, Dhruv Jurel, R Parag, SO Hetmyer, D Ferreira, RA Jadeja, JC Archer, Ravi Bishnoi, Brijesh Sharma, N Burger</t>
  </si>
  <si>
    <t>CV Varun, TL Seifert, AM Rahane, A Raghuvanshi, C Green, R Powell, RK Singh, Ramandeep Singh, AS Roy, SP Narine, VG Arora, Kartik Tyagi</t>
  </si>
  <si>
    <t>Vijaykumar Vyshak, Priyansh Arya, P Simran Singh, C Connolly, SS Iyer, MP Stoinis, N Wadhera, Shashank Singh, M Jansen, XC Bartlett, Arshdeep Singh, YS Chahal</t>
  </si>
  <si>
    <t>Mohsin Khan, MR Marsh, A Badoni, RR Pant, N Pooran, AK Markram, MD Choudhary, Himmat Singh, Mohammed Shami, Avesh Khan, Prince Yadav, M Siddharth</t>
  </si>
  <si>
    <t>Tilak Varma</t>
  </si>
  <si>
    <t>Q de Kock, DV Malewar, Naman Dhir, SA Yadav, Tilak Varma, HH Pandya, SE Rutherford, MJ Santner, Krish Bhagat, JJ Bumrah, AM Ghazanfar, Ashwani Kumar</t>
  </si>
  <si>
    <t>M Prasidh Krishna, B Sai Sudharsan, Shubman Gill, JC Buttler, Washington Sundar, GD Phillips, R Tewatia, M Shahrukh Khan, Rashid Khan, K Rabada, Ashok Sharma, Mohammed Siraj</t>
  </si>
  <si>
    <t>D Madushanka, Abhishek Sharma, TM Head, Ishan Kishan, H Klaasen, S Arora, Aniket Verma, Nithish Kumar Reddy, Shivang Kumar, Harsh Dubey, Sakib Hussain, E Malinga</t>
  </si>
  <si>
    <t>Mukesh Kumar, P Nissanka, KL Rahul, N Rana, Sameer Rizvi, DA Miller, T Stubbs, Ashutosh Sharma, AR Patel, Kuldeep Yadav, L Ngidi, T Natarajan</t>
  </si>
  <si>
    <t>YBK Jaiswal, V Suryavanshi, Dhruv Jurel, R Parag, SO Hetmyer, RA Jadeja, D Ferreira, SB Dubey, JC Archer, N Burger, Brijesh Sharma, Ravi Bishnoi</t>
  </si>
  <si>
    <t>Prince Yadav, MR Marsh, A Badoni, RR Pant, AK Markram, N Pooran, Himmat Singh, MD Choudhary, Mohammed Shami, MP Yadav, DS Rathi, Mohsin Khan</t>
  </si>
  <si>
    <t>SV Samson, RD Gaikwad, SN Khan, S Dube, D Brevis, Kartik Sharma, J Overton, AJ Hosein, Noor Ahmad, A Kamboj, Mukesh Choudhary, Gurjapneet Singh</t>
  </si>
  <si>
    <t>MJ Santner, AM Ghazanfar, Q de Kock, DV Malewar, Naman Dhir, SA Yadav, Tilak Varma, HH Pandya, SE Rutherford, SN Thakur, Krish Bhagat, Ashwani Kumar, JJ Bumrah</t>
  </si>
  <si>
    <t>R Tewatia, B Sai Sudharsan, Shubman Gill, JC Buttler, Washington Sundar, JO Holder, M Shahrukh Khan, Rashid Khan, MJ Suthar, K Rabada, Mohammed Siraj, M Prasidh Krishna</t>
  </si>
  <si>
    <t>Suyash Sharma, JG Bethell, V Kohli, D Padikkal, RM Patidar, JM Sharma, TH David, KH Pandya, R Shepherd, B Kumar, JR Hazlewood, Rasikh Salam</t>
  </si>
  <si>
    <t>Auqib Nabi, V Nigam, P Nissanka, KL Rahul, N Rana, DA Miller, Sameer Rizvi, AR Patel, T Stubbs, L Ngidi, Kuldeep Yadav, T Natarajan, Mukesh Kumar</t>
  </si>
  <si>
    <t>Ravi Bishnoi, YBK Jaiswal, V Suryavanshi, Dhruv Jurel, R Parag, D Ferreira, SO Hetmyer, RA Jadeja, JC Archer, TU Deshpande, N Burger, Brijesh Sharma</t>
  </si>
  <si>
    <t>Sakib Hussain, TM Head, Abhishek Sharma, Ishan Kishan, H Klaasen, Nithish Kumar Reddy, S Arora, Aniket Verma, PJ Cummins, Shivang Kumar, E Malinga, PP Hinge</t>
  </si>
  <si>
    <t>SV Samson, RD Gaikwad, Urvil Patel, SN Khan, D Brevis, S Dube, Kartik Sharma, J Overton, AJ Hosein, Noor Ahmad, A Kamboj, Gurjapneet Singh</t>
  </si>
  <si>
    <t>B Sai Sudharsan, Shubman Gill, JC Buttler, Washington Sundar, M Shahrukh Khan, JO Holder, Rashid Khan, Arshad Khan, K Rabada, Mohammed Siraj, MJ Suthar</t>
  </si>
  <si>
    <t>CV Varun, AM Rahane, TL Seifert, A Raghuvanshi, C Green, R Powell, RK Singh, AS Roy, Ramandeep Singh, SP Narine, VG Arora, Kartik Tyagi</t>
  </si>
  <si>
    <t>Mohsin Khan, AK Markram, MR Marsh, RR Pant, N Pooran, A Badoni, MD Choudhary, Himmat Singh, GF Linde, Mohammed Shami, Prince Yadav, DS Rathi</t>
  </si>
  <si>
    <t>SJ Nogajski</t>
  </si>
  <si>
    <t>SU Parakh, KL Rahul, N Rana, Sameer Rizvi, T Stubbs, AR Patel, Abishek Porel, DA Miller, KA Jamieson, Kuldeep Yadav, PVD Chameera, T Natarajan</t>
  </si>
  <si>
    <t>Suyash Sharma, JG Bethell, V Kohli, D Padikkal, RM Patidar, JM Sharma, TH David, R Shepherd, KH Pandya, B Kumar, JR Hazlewood, Rasikh Salam</t>
  </si>
  <si>
    <t>D Ferreira</t>
  </si>
  <si>
    <t>Harpreet Brar, P Simran Singh, Priyansh Arya, C Connolly, SS Iyer, MP Stoinis, Suryansh Shedge, N Wadhera, M Jansen, LH Ferguson, Arshdeep Singh, YS Chahal</t>
  </si>
  <si>
    <t>Yash Raj Punja, YBK Jaiswal, V Suryavanshi, Dhruv Jurel, R Parag, D Ferreira, SB Dubey, RA Jadeja, MD Shanaka, JC Archer, N Burger, Brijesh Sharma</t>
  </si>
  <si>
    <t>SN Thakur, WG Jacks, RD Rickelton, SA Yadav, Naman Dhir, HH Pandya, Tilak Varma, R Minz, TA Boult, JJ Bumrah, AM Ghazanfar, Ashwani Kumar</t>
  </si>
  <si>
    <t>Sakib Hussain, Aniket Verma, Abhishek Sharma, TM Head, Ishan Kishan, H Klaasen, Nithish Kumar Reddy, S Arora, PJ Cummins, Harsh Dubey, PP Hinge, E Malinga</t>
  </si>
  <si>
    <t>JG Bethell, V Kohli, D Padikkal, RM Patidar, JM Sharma, TH David, KH Pandya, R Shepherd, VR Iyer, B Kumar, JR Hazlewood, Suyash Sharma</t>
  </si>
  <si>
    <t>Mohammed Siraj, B Sai Sudharsan, Shubman Gill, JC Buttler, Washington Sundar, M Shahrukh Khan, R Tewatia, JO Holder, Rashid Khan, Arshad Khan, K Rabada, MJ Suthar</t>
  </si>
  <si>
    <t>TU Deshpande, YBK Jaiswal, V Suryavanshi, Dhruv Jurel, R Parag, RA Jadeja, D Ferreira, SB Dubey, JC Archer, Ravi Bishnoi, N Burger, Brijesh Sharma</t>
  </si>
  <si>
    <t>P Nissanka, KL Rahul, N Rana, T Stubbs, Ashutosh Sharma, Sameer Rizvi, AR Patel, KA Jamieson, MA Starc, Kuldeep Yadav, T Natarajan</t>
  </si>
  <si>
    <t>Raghu Sharma, WG Jacks, RD Rickelton, Naman Dhir, SA Yadav, Tilak Varma, HH Pandya, R Minz, Krish Bhagat, TA Boult, JJ Bumrah, AM Ghazanfar</t>
  </si>
  <si>
    <t>Mukesh Choudhary, SV Samson, RD Gaikwad, Urvil Patel, Kartik Sharma, D Brevis, S Dube, J Overton, RS Ghosh, PR Veer, Noor Ahmad, A Kamboj</t>
  </si>
  <si>
    <t>Sakib Hussain, Abhishek Sharma, TM Head, Ishan Kishan, H Klaasen, R Smaran, Aniket Verma, S Arora, PJ Cummins, Shivang Kumar, HV Patel, E Malinga</t>
  </si>
  <si>
    <t>VG Arora, AM Rahane, FH Allen, A Raghuvanshi, RK Singh, C Green, R Powell, MK Pandey, SP Narine, AS Roy, Kartik Tyagi, CV Varun</t>
  </si>
  <si>
    <t>Priyansh Arya, P Simran Singh, C Connolly, SS Iyer, N Wadhera, Suryansh Shedge, MP Stoinis, M Jansen, XC Bartlett, Vijaykumar Vyshak, Arshdeep Singh, YS Chahal</t>
  </si>
  <si>
    <t>Mohammed Siraj, B Sai Sudharsan, Shubman Gill, JC Buttler, N Sindhu, Washington Sundar, R Tewatia, JO Holder, Arshad Khan, Rashid Khan, K Rabada, MJ Suthar</t>
  </si>
  <si>
    <t>T Ematty</t>
  </si>
  <si>
    <t>M Siddharth, MR Marsh, JP Inglis, N Pooran, RR Pant, AK Markram, Akshat Raghuwanshi, Himmat Singh, Mohammed Shami, Mohsin Khan, Avesh Khan, Prince Yadav</t>
  </si>
  <si>
    <t>Raghu Sharma, RD Rickelton, RG Sharma, Tilak Varma, SA Yadav, Naman Dhir, WG Jacks, RA Bawa, C Bosch, DL Chahar, JJ Bumrah, AM Ghazanfar</t>
  </si>
  <si>
    <t>P Nissanka, KL Rahul, N Rana, KK Nair, AR Patel, T Stubbs, Sameer Rizvi, Ashutosh Sharma, MA Starc, L Ngidi, Kuldeep Yadav, T Natarajan</t>
  </si>
  <si>
    <t>SV Samson, RD Gaikwad, Urvil Patel, Kartik Sharma, D Brevis, J Overton, AJ Hosein, Noor Ahmad, A Kamboj, Mukesh Choudhary, Gurjapneet Singh</t>
  </si>
  <si>
    <t>Harsh Dubey, Abhishek Sharma, TM Head, Ishan Kishan, H Klaasen, Nithish Kumar Reddy, S Arora, R Smaran, PJ Cummins, Shivang Kumar, E Malinga, Sakib Hussain</t>
  </si>
  <si>
    <t>YS Chahal, Priyansh Arya, P Simran Singh, C Connolly, SS Iyer, MP Stoinis, Suryansh Shedge, Shashank Singh, M Jansen, Vijaykumar Vyshak, LH Ferguson, Arshdeep Singh</t>
  </si>
  <si>
    <t>MP Yadav, MR Marsh, AA Kulkarni, N Pooran, RR Pant, AK Markram, Akshat Raghuwanshi, Himmat Singh, Shahbaz Ahmed, DS Rathi, Mohammed Shami, Prince Yadav</t>
  </si>
  <si>
    <t>FH Allen</t>
  </si>
  <si>
    <t>Kuldeep Yadav, P Nissanka, KL Rahul, N Rana, Sameer Rizvi, T Stubbs, AR Patel, Ashutosh Sharma, V Nigam, MA Starc, L Ngidi, Mukesh Kumar</t>
  </si>
  <si>
    <t>CV Varun, AM Rahane, FH Allen, A Raghuvanshi, C Green, R Powell, MK Pandey, RK Singh, SP Narine, AS Roy, Kartik Tyagi, VG Arora</t>
  </si>
  <si>
    <t>R Sai Kishore, B Sai Sudharsan, Shubman Gill, JC Buttler, Washington Sundar, JO Holder, R Tewatia, N Sindhu, Rashid Khan, Arshad Khan, K Rabada, Mohammed Siraj</t>
  </si>
  <si>
    <t>Yash Raj Punja, YBK Jaiswal, V Suryavanshi, Dhruv Jurel, SO Hetmyer, RA Jadeja, D Ferreira, SB Dubey, MD Shanaka, JC Archer, TU Deshpande, Brijesh Sharma</t>
  </si>
  <si>
    <t>J Overton</t>
  </si>
  <si>
    <t>JP Inglis, MR Marsh, N Pooran, RR Pant, AK Markram, Akshat Raghuwanshi, Shahbaz Ahmed, Himmat Singh, Mohammed Shami, Avesh Khan, Prince Yadav, DS Rathi</t>
  </si>
  <si>
    <t>Mukesh Choudhary, SV Samson, RD Gaikwad, Urvil Patel, Kartik Sharma, D Brevis, S Dube, PR Veer, J Overton, AJ Hosein, Noor Ahmad, A Kamboj</t>
  </si>
  <si>
    <t>Shaheed Veer Narayan Singh International Stadium, Raipur</t>
  </si>
  <si>
    <t>Raghu Sharma, RD Rickelton, RG Sharma, Naman Dhir, SA Yadav, Tilak Varma, WG Jacks, RA Bawa, C Bosch, DL Chahar, JJ Bumrah, AM Ghazanfar</t>
  </si>
  <si>
    <t>Suyash Sharma, JG Bethell, V Kohli, D Padikkal, RM Patidar, KH Pandya, JM Sharma, TH David, R Shepherd, Rasikh Salam, B Kumar, JR Hazlewood</t>
  </si>
  <si>
    <t>M Tiwari</t>
  </si>
  <si>
    <t>Yash Thakur, Priyansh Arya, P Simran Singh, SS Iyer, C Connolly, MP Stoinis, Shashank Singh, Suryansh Shedge, M Jansen, BJ Dwarshuis, Arshdeep Singh, YS Chahal</t>
  </si>
  <si>
    <t>Mukesh Kumar, KL Rahul, Abishek Porel, SU Parakh, T Stubbs, AR Patel, DA Miller, Ashutosh Sharma, M Tiwari, Auqib Nabi, MA Starc, L Ngidi</t>
  </si>
  <si>
    <t>M Prasidh Krishna, B Sai Sudharsan, Shubman Gill, JC Buttler, N Sindhu, Washington Sundar, JO Holder, R Tewatia, Rashid Khan, Arshad Khan, K Rabada, Mohammed Siraj</t>
  </si>
  <si>
    <t>Sakib Hussain, TM Head, Abhishek Sharma, Ishan Kishan, R Smaran, H Klaasen, S Arora, Nithish Kumar Reddy, PJ Cummins, Shivang Kumar, PP Hinge, E Malinga</t>
  </si>
  <si>
    <t>SR Dubey, AM Rahane, FH Allen, A Raghuvanshi, C Green, RK Singh, R Powell, MK Pandey, SP Narine, AS Roy, Kartik Tyagi, VG Arora</t>
  </si>
  <si>
    <t>JA Duffy, JG Bethell, V Kohli, D Padikkal, RM Patidar, TH David, JM Sharma, VR Iyer, KH Pandya, B Kumar, Rasikh Salam, JR Hazlewood</t>
  </si>
  <si>
    <t>Priyansh Arya, P Simran Singh, C Connolly, SS Iyer, Suryansh Shedge, Shashank Singh, Azmatullah Omarzai, M Jansen, Vishnu Vinod, XC Bartlett, Arshdeep Singh, YS Chahal</t>
  </si>
  <si>
    <t>Raghu Sharma, RG Sharma, RD Rickelton, Naman Dhir, Tilak Varma, SE Rutherford, WG Jacks, RA Bawa, C Bosch, DL Chahar, SN Thakur, JJ Bumrah</t>
  </si>
  <si>
    <t>Gurjapneet Singh, SV Samson, RD Gaikwad, Urvil Patel, Kartik Sharma, D Brevis, S Dube, PR Veer, A Kamboj, Noor Ahmad, SH Johnson, Mukesh Choudhary</t>
  </si>
  <si>
    <t>Prince Yadav, MR Marsh, JP Inglis, N Pooran, Abdul Samad, MD Choudhary, AK Markram, RR Pant, Shahbaz Ahmed, Mohammed Shami, MP Yadav, Akash Singh</t>
  </si>
  <si>
    <t>M Pathirana, AM Rahane, FH Allen, A Raghuvanshi, C Green, MK Pandey, RK Singh, SP Narine, AS Roy, CV Varun, SR Dubey, Kartik Tyagi</t>
  </si>
  <si>
    <t>Mohammed Siraj, B Sai Sudharsan, Shubman Gill, N Sindhu, JC Buttler, R Tewatia, JO Holder, Washington Sundar, Rashid Khan, K Rabada, Arshad Khan, R Sai Kishore</t>
  </si>
  <si>
    <t>Rasikh Salam, JG Bethell, V Kohli, D Padikkal, VR Iyer, TH David, JM Sharma, R Shepherd, KH Pandya, B Kumar, Suyash Sharma, JR Hazlewood</t>
  </si>
  <si>
    <t>YS Chahal, Priyansh Arya, P Simran Singh, C Connolly, SS Iyer, Suryansh Shedge, MP Stoinis, Shashank Singh, Azmatullah Omarzai, Harpreet Brar, LH Ferguson, Arshdeep Singh</t>
  </si>
  <si>
    <t>YBK Jaiswal, V Suryavanshi, Dhruv Jurel, R Parag, D Ferreira, Ravi Singh, SB Dubey, MD Shanaka, JC Archer, AF Milne, Brijesh Sharma, Yash Raj Punja</t>
  </si>
  <si>
    <t>Mukesh Kumar, Abishek Porel, KL Rahul, SU Parakh, AR Patel, T Stubbs, DA Miller, Ashutosh Sharma, M Tiwari, MA Starc, L Ngidi, T Vijay</t>
  </si>
  <si>
    <t>Mukesh Choudhary, SV Samson, RD Gaikwad, Urvil Patel, Kartik Sharma, D Brevis, S Dube, PR Veer, AJ Hosein, Noor Ahmad, A Kamboj, SH Johnson</t>
  </si>
  <si>
    <t>Sakib Hussain, Abhishek Sharma, TM Head, Ishan Kishan, H Klaasen, Nithish Kumar Reddy, S Arora, R Smaran, PJ Cummins, Shivang Kumar, E Malinga, PP Hinge</t>
  </si>
  <si>
    <t>DS Rathi, MR Marsh, JP Inglis, N Pooran, RR Pant, Abdul Samad, A Badoni, Shahbaz Ahmed, Mohsin Khan, MP Yadav, Akash Singh, Prince Yadav</t>
  </si>
  <si>
    <t>Yash Raj Punja, YBK Jaiswal, V Suryavanshi, Dhruv Jurel, LG Pretorius, D Ferreira, SB Dubey, MD Shanaka, JC Archer, Sandeep Sharma, SS Mishra, Brijesh Sharma</t>
  </si>
  <si>
    <t>AM Ghazanfar, RD Rickelton, RG Sharma, Naman Dhir, SA Yadav, Tilak Varma, HH Pandya, WG Jacks, C Bosch, DL Chahar, JJ Bumrah, Raghu Sharma</t>
  </si>
  <si>
    <t>CV Varun, A Raghuvanshi, AM Rahane, FH Allen, MK Pandey, C Green, R Powell, RK Singh, T Dahiya, AS Roy, SP Narine, Kartik Tyagi, SR Dubey</t>
  </si>
  <si>
    <t>M Prasidh Krishna, B Sai Sudharsan, Shubman Gill, JC Buttler, R Tewatia, Washington Sundar, N Sindhu, JO Holder, Rashid Khan, K Rabada, Arshad Khan, Mohammed Siraj</t>
  </si>
  <si>
    <t>Gurjapneet Singh, SV Samson, MW Short, RD Gaikwad, Urvil Patel, Kartik Sharma, D Brevis, S Dube, A Kamboj, Noor Ahmad, Mukesh Choudhary, SH Johnson</t>
  </si>
  <si>
    <t>HV Patel, Abhishek Sharma, TM Head, Ishan Kishan, H Klaasen, Nithish Kumar Reddy, S Arora, R Smaran, PJ Cummins, Shivang Kumar, E Malinga, Sakib Hussain</t>
  </si>
  <si>
    <t>Suyash Sharma, VR Iyer, V Kohli, D Padikkal, RM Patidar, KH Pandya, TH David, JM Sharma, R Shepherd, B Kumar, JR Hazlewood, Rasikh Salam</t>
  </si>
  <si>
    <t>DS Rathi, JP Inglis, AA Kulkarni, N Pooran, A Badoni, RR Pant, Abdul Samad, MD Choudhary, Arjun Tendulkar, Mohammed Shami, Prince Yadav, Mohsin Khan</t>
  </si>
  <si>
    <t>YS Chahal, Priyansh Arya, P Simran Singh, C Connolly, SS Iyer, Suryansh Shedge, Shashank Singh, Azmatullah Omarzai, M Jansen, Vijaykumar Vyshak, Arshdeep Singh, MP Stoinis</t>
  </si>
  <si>
    <t>YBK Jaiswal, V Suryavanshi, Dhruv Jurel, R Parag, MD Shanaka, D Ferreira, JC Archer, SB Dubey, RA Jadeja, N Burger, Yash Raj Punja, Brijesh Sharma</t>
  </si>
  <si>
    <t>Raghu Sharma, RG Sharma, RD Rickelton, Naman Dhir, SA Yadav, Tilak Varma, WG Jacks, HH Pandya, C Bosch, SN Thakur, DL Chahar, AM Ghazanfar</t>
  </si>
  <si>
    <t>Kuldeep Yadav, Abishek Porel, KL Rahul, SU Parakh, AR Patel, DA Miller, Ashutosh Sharma, T Stubbs, M Tiwari, Auqib Nabi, L Ngidi, MA Starc</t>
  </si>
  <si>
    <t>SP Narine, AM Rahane, FH Allen, MK Pandey, C Green, R Powell, RK Singh, T Dahiya, AS Roy, Kartik Tyagi, CV Varun, SR Dubey</t>
  </si>
  <si>
    <t>R Shepherd, VR Iyer, V Kohli, D Padikkal, RM Patidar, KH Pandya, TH David, JM Sharma, B Kumar, JR Hazlewood, JA Duffy, Rasikh Salam</t>
  </si>
  <si>
    <t>K Khejroliya, B Sai Sudharsan, Shubman Gill, JC Buttler, N Sindhu, Washington Sundar, JO Holder, R Tewatia, Rashid Khan, K Rabada, Mohammed Siraj, M Prasidh Krishna</t>
  </si>
  <si>
    <t>YBK Jaiswal, V Suryavanshi, Dhruv Jurel, R Parag, D Ferreira, MD Shanaka, RA Jadeja, JC Archer, N Burger, SS Mishra, Brijesh Sharma, Yash Raj Punja</t>
  </si>
  <si>
    <t>PP Hinge, Abhishek Sharma, TM Head, Ishan Kishan, R Smaran, H Klaasen, Nithish Kumar Reddy, Salil Arora, PJ Cummins, Shivang Kumar, E Malinga, Sakib Hussain</t>
  </si>
  <si>
    <t>TU Deshpande, YBK Jaiswal, V Suryavanshi, Dhruv Jurel, RA Jadeja, R Parag, MD Shanaka, JC Archer, D Ferreira, N Burger, Brijesh Sharma, Yash Raj Punja</t>
  </si>
  <si>
    <t>Mohammed Siraj, B Sai Sudharsan, Shubman Gill, JC Buttler, Washington Sundar, R Tewatia, JO Holder, N Sindhu, Rashid Khan, R Sai Kishore, K Rabada, M Prasidh Krishna</t>
  </si>
  <si>
    <t>M Prasidh Krishna, B Sai Sudharsan, Shubman Gill, N Sindhu, JC Buttler, Washington Sundar, Arshad Khan, R Tewatia, JO Holder, Rashid Khan, K Rabada, Mohammed Siraj</t>
  </si>
  <si>
    <t>JA Duffy, VR Iyer, V Kohli, D Padikkal, RM Patidar, KH Pandya, TH David, JM Sharma, R Shepherd, B Kumar, JR Hazlewood, Rasikh Salam</t>
  </si>
  <si>
    <t xml:space="preserve">Matches </t>
  </si>
  <si>
    <t>Total Runs</t>
  </si>
  <si>
    <t>Team 1</t>
  </si>
  <si>
    <t>Team 2</t>
  </si>
  <si>
    <t>Region</t>
  </si>
  <si>
    <t>Sales (in Lakhs)</t>
  </si>
  <si>
    <t>North</t>
  </si>
  <si>
    <t>East</t>
  </si>
  <si>
    <t>South</t>
  </si>
  <si>
    <t>West</t>
  </si>
  <si>
    <t>Central</t>
  </si>
  <si>
    <t>North-East</t>
  </si>
  <si>
    <t>South-West</t>
  </si>
  <si>
    <t>South-Central</t>
  </si>
  <si>
    <t>North-west</t>
  </si>
  <si>
    <t>sum</t>
  </si>
  <si>
    <t>avg</t>
  </si>
  <si>
    <t>min</t>
  </si>
  <si>
    <t>max</t>
  </si>
  <si>
    <t>count</t>
  </si>
  <si>
    <t>counta</t>
  </si>
  <si>
    <t>count blank</t>
  </si>
  <si>
    <t>abc</t>
  </si>
  <si>
    <t>small</t>
  </si>
  <si>
    <t>large</t>
  </si>
  <si>
    <t>Surj</t>
  </si>
  <si>
    <t>countblank</t>
  </si>
  <si>
    <t>Emp Code</t>
  </si>
  <si>
    <t>Employee Name</t>
  </si>
  <si>
    <t>Address</t>
  </si>
  <si>
    <t>City</t>
  </si>
  <si>
    <t>Department</t>
  </si>
  <si>
    <t>Basic</t>
  </si>
  <si>
    <t>Prakash Dutta</t>
  </si>
  <si>
    <t>Elgin Road</t>
  </si>
  <si>
    <t>E</t>
  </si>
  <si>
    <t>Marketing</t>
  </si>
  <si>
    <t>Prateek Babbar</t>
  </si>
  <si>
    <t>North Road</t>
  </si>
  <si>
    <t>N</t>
  </si>
  <si>
    <t>Arjun Jain</t>
  </si>
  <si>
    <t>MG Road</t>
  </si>
  <si>
    <t>W</t>
  </si>
  <si>
    <t>Training</t>
  </si>
  <si>
    <t>Satish Puri</t>
  </si>
  <si>
    <t>Bandra</t>
  </si>
  <si>
    <t>Operation</t>
  </si>
  <si>
    <t>Manisha Guha</t>
  </si>
  <si>
    <t>Alipore</t>
  </si>
  <si>
    <t>R&amp;D</t>
  </si>
  <si>
    <t>Sukanya Reddy</t>
  </si>
  <si>
    <t>Mangalore</t>
  </si>
  <si>
    <t>S</t>
  </si>
  <si>
    <t>Jharna Biswal</t>
  </si>
  <si>
    <t>Link Road</t>
  </si>
  <si>
    <t>Accounts</t>
  </si>
  <si>
    <t>Ashwini</t>
  </si>
  <si>
    <t>Sector 9</t>
  </si>
  <si>
    <t>Arjun Kapoor</t>
  </si>
  <si>
    <t>Anjum Chopra</t>
  </si>
  <si>
    <t>Worli</t>
  </si>
  <si>
    <t>JP Kumar</t>
  </si>
  <si>
    <t>Andheri (W)</t>
  </si>
  <si>
    <t>Shahid Khan</t>
  </si>
  <si>
    <t>M.G Road</t>
  </si>
  <si>
    <t>Manish Grover</t>
  </si>
  <si>
    <t>L L R Road</t>
  </si>
  <si>
    <t>Noida</t>
  </si>
  <si>
    <t>Priya Agarwal</t>
  </si>
  <si>
    <t>Abrar</t>
  </si>
  <si>
    <t>Jayanagar</t>
  </si>
  <si>
    <t>Akram Khan</t>
  </si>
  <si>
    <t>S P B Road</t>
  </si>
  <si>
    <t>Anjali Thakur</t>
  </si>
  <si>
    <t>Govindpuri</t>
  </si>
  <si>
    <t>R Vasu</t>
  </si>
  <si>
    <t>Egmore</t>
  </si>
  <si>
    <t>Sanjay Gupta</t>
  </si>
  <si>
    <t>Anupam Mishra</t>
  </si>
  <si>
    <t>Mysore</t>
  </si>
  <si>
    <t>SUM</t>
  </si>
  <si>
    <t>AVERAGE</t>
  </si>
  <si>
    <t>MAX</t>
  </si>
  <si>
    <t>MIN</t>
  </si>
  <si>
    <t>COUNT</t>
  </si>
  <si>
    <t>COUNTA</t>
  </si>
  <si>
    <t>COUNtBLANK</t>
  </si>
  <si>
    <t>COUNTIF</t>
  </si>
  <si>
    <t>SUMIF</t>
  </si>
  <si>
    <t>AVERAGEIF</t>
  </si>
  <si>
    <t>SUMIFS</t>
  </si>
  <si>
    <t>AVERAGEIFS</t>
  </si>
  <si>
    <t>COUNTIFS</t>
  </si>
  <si>
    <t>MAXIFS</t>
  </si>
  <si>
    <t>MINIFS</t>
  </si>
  <si>
    <t>RANK</t>
  </si>
  <si>
    <t>LARGE</t>
  </si>
  <si>
    <t>SMALL</t>
  </si>
  <si>
    <t>Q-1: Find total Salary Distributed.</t>
  </si>
  <si>
    <t>Q-2: Find Average Salary received by an employee</t>
  </si>
  <si>
    <t>Q-3: Find MaximumSalary received by an employee</t>
  </si>
  <si>
    <t>Q-4: Find Minimum Salary received by an employee</t>
  </si>
  <si>
    <t>Q-5: Find total employees working</t>
  </si>
  <si>
    <t>Q-6: Find total regions</t>
  </si>
  <si>
    <t>Q-7: Find number of missing sales</t>
  </si>
  <si>
    <t>Q-8: Find count of salaries greater than 10k</t>
  </si>
  <si>
    <t>Q-9: Find number of employees working in R&amp;D dept</t>
  </si>
  <si>
    <t>Q-10: Find number of employees from S Region</t>
  </si>
  <si>
    <t>Q-11: Find total Salary distributed to E Region</t>
  </si>
  <si>
    <t>Q-12: Find Average Salary received by Training Dept employees</t>
  </si>
  <si>
    <t>Q-13: Find count of employees from Mumbai City</t>
  </si>
  <si>
    <t>Q-1 Total Salary of Training Department Employees form W Region</t>
  </si>
  <si>
    <t>Q-2 Average Salary of Training Department Employees form W Region</t>
  </si>
  <si>
    <t>Q-3 Total Number of Employees from Training Department and form W Region</t>
  </si>
  <si>
    <t>Q-4 Max Salary of Employees from Training Department and form W Region</t>
  </si>
  <si>
    <t>Q-5 Min salary of Employees from Training Department and form W Region</t>
  </si>
  <si>
    <t>Q-6 Total Salary of R&amp;D Department Employees from Manglore City</t>
  </si>
  <si>
    <t>Q-7 Total Number of employees earning &gt; 8000 and &lt; 12000</t>
  </si>
  <si>
    <t>2nd largest</t>
  </si>
  <si>
    <t>3rd smallest</t>
  </si>
  <si>
    <t>using unique</t>
  </si>
  <si>
    <t>$100</t>
  </si>
  <si>
    <t>$200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</si>
</sst>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8" fillId="0" borderId="0" xfId="0" applyFont="1"/>
    <xf numFmtId="22" fontId="0" fillId="0" borderId="0" xfId="0" applyNumberFormat="1"/>
    <xf numFmtId="0" fontId="0" fillId="0" borderId="10" xfId="0" applyBorder="1"/>
    <xf numFmtId="14" fontId="0" fillId="0" borderId="10" xfId="0" applyNumberFormat="1" applyBorder="1"/>
    <xf numFmtId="8" fontId="0" fillId="0" borderId="0" xfId="0" applyNumberFormat="1"/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8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1" fillId="33" borderId="0" xfId="0" applyFont="1" applyFill="1"/>
    <xf numFmtId="0" fontId="0" fillId="33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D1EB-77B0-354B-907B-9BDB5048752F}">
  <dimension ref="A1:AE1244"/>
  <sheetViews>
    <sheetView topLeftCell="G1207" workbookViewId="0">
      <selection activeCell="I19" sqref="I19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>
        <v>1</v>
      </c>
      <c r="D2" s="1">
        <v>39556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>
        <v>82</v>
      </c>
      <c r="L2">
        <v>10</v>
      </c>
      <c r="M2">
        <v>222</v>
      </c>
      <c r="N2">
        <v>3</v>
      </c>
      <c r="O2" t="s">
        <v>36</v>
      </c>
      <c r="P2" t="s">
        <v>38</v>
      </c>
      <c r="Q2">
        <v>140</v>
      </c>
      <c r="R2">
        <v>0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>
        <v>20</v>
      </c>
      <c r="AA2">
        <v>6</v>
      </c>
      <c r="AB2" t="s">
        <v>46</v>
      </c>
      <c r="AC2" t="s">
        <v>47</v>
      </c>
      <c r="AD2" t="s">
        <v>48</v>
      </c>
      <c r="AE2" t="s">
        <v>49</v>
      </c>
    </row>
    <row r="3" spans="1:31" x14ac:dyDescent="0.2">
      <c r="A3" t="s">
        <v>31</v>
      </c>
      <c r="B3" t="s">
        <v>32</v>
      </c>
      <c r="C3">
        <v>2</v>
      </c>
      <c r="D3" s="1">
        <v>39557</v>
      </c>
      <c r="E3" t="s">
        <v>50</v>
      </c>
      <c r="F3" t="s">
        <v>51</v>
      </c>
      <c r="G3" t="s">
        <v>52</v>
      </c>
      <c r="H3" t="s">
        <v>53</v>
      </c>
      <c r="I3" t="s">
        <v>53</v>
      </c>
      <c r="J3" t="s">
        <v>54</v>
      </c>
      <c r="K3">
        <v>207</v>
      </c>
      <c r="L3">
        <v>4</v>
      </c>
      <c r="M3">
        <v>240</v>
      </c>
      <c r="N3">
        <v>5</v>
      </c>
      <c r="O3" t="s">
        <v>53</v>
      </c>
      <c r="P3" t="s">
        <v>38</v>
      </c>
      <c r="Q3">
        <v>33</v>
      </c>
      <c r="R3">
        <v>0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45</v>
      </c>
      <c r="Z3">
        <v>20</v>
      </c>
      <c r="AA3">
        <v>6</v>
      </c>
      <c r="AB3" t="s">
        <v>46</v>
      </c>
      <c r="AC3" t="s">
        <v>47</v>
      </c>
      <c r="AD3" t="s">
        <v>61</v>
      </c>
      <c r="AE3" t="s">
        <v>62</v>
      </c>
    </row>
    <row r="4" spans="1:31" x14ac:dyDescent="0.2">
      <c r="A4" t="s">
        <v>31</v>
      </c>
      <c r="B4" t="s">
        <v>32</v>
      </c>
      <c r="C4">
        <v>3</v>
      </c>
      <c r="D4" s="1">
        <v>39557</v>
      </c>
      <c r="E4" t="s">
        <v>63</v>
      </c>
      <c r="F4" t="s">
        <v>64</v>
      </c>
      <c r="G4" t="s">
        <v>65</v>
      </c>
      <c r="H4" t="s">
        <v>66</v>
      </c>
      <c r="I4" t="s">
        <v>66</v>
      </c>
      <c r="J4" t="s">
        <v>54</v>
      </c>
      <c r="K4">
        <v>132</v>
      </c>
      <c r="L4">
        <v>1</v>
      </c>
      <c r="M4">
        <v>129</v>
      </c>
      <c r="N4">
        <v>8</v>
      </c>
      <c r="O4" t="s">
        <v>65</v>
      </c>
      <c r="P4" t="s">
        <v>38</v>
      </c>
      <c r="Q4">
        <v>0</v>
      </c>
      <c r="R4">
        <v>9</v>
      </c>
      <c r="S4" t="s">
        <v>67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Y4" t="s">
        <v>45</v>
      </c>
      <c r="Z4">
        <v>20</v>
      </c>
      <c r="AA4">
        <v>6</v>
      </c>
      <c r="AB4" t="s">
        <v>46</v>
      </c>
      <c r="AC4" t="s">
        <v>47</v>
      </c>
      <c r="AD4" t="s">
        <v>73</v>
      </c>
      <c r="AE4" t="s">
        <v>74</v>
      </c>
    </row>
    <row r="5" spans="1:31" x14ac:dyDescent="0.2">
      <c r="A5" t="s">
        <v>31</v>
      </c>
      <c r="B5" t="s">
        <v>32</v>
      </c>
      <c r="C5">
        <v>4</v>
      </c>
      <c r="D5" s="1">
        <v>39558</v>
      </c>
      <c r="E5" t="s">
        <v>75</v>
      </c>
      <c r="F5" t="s">
        <v>76</v>
      </c>
      <c r="G5" t="s">
        <v>36</v>
      </c>
      <c r="H5" t="s">
        <v>77</v>
      </c>
      <c r="I5" t="s">
        <v>77</v>
      </c>
      <c r="J5" t="s">
        <v>54</v>
      </c>
      <c r="K5">
        <v>112</v>
      </c>
      <c r="L5">
        <v>5</v>
      </c>
      <c r="M5">
        <v>110</v>
      </c>
      <c r="N5">
        <v>10</v>
      </c>
      <c r="O5" t="s">
        <v>36</v>
      </c>
      <c r="P5" t="s">
        <v>38</v>
      </c>
      <c r="Q5">
        <v>0</v>
      </c>
      <c r="R5">
        <v>5</v>
      </c>
      <c r="S5" t="s">
        <v>78</v>
      </c>
      <c r="T5" t="s">
        <v>79</v>
      </c>
      <c r="U5" t="s">
        <v>80</v>
      </c>
      <c r="V5" t="s">
        <v>81</v>
      </c>
      <c r="W5" t="s">
        <v>41</v>
      </c>
      <c r="X5" t="s">
        <v>82</v>
      </c>
      <c r="Y5" t="s">
        <v>45</v>
      </c>
      <c r="Z5">
        <v>20</v>
      </c>
      <c r="AA5">
        <v>6</v>
      </c>
      <c r="AB5" t="s">
        <v>46</v>
      </c>
      <c r="AC5" t="s">
        <v>47</v>
      </c>
      <c r="AD5" t="s">
        <v>83</v>
      </c>
      <c r="AE5" t="s">
        <v>84</v>
      </c>
    </row>
    <row r="6" spans="1:31" x14ac:dyDescent="0.2">
      <c r="A6" t="s">
        <v>31</v>
      </c>
      <c r="B6" t="s">
        <v>32</v>
      </c>
      <c r="C6">
        <v>5</v>
      </c>
      <c r="D6" s="1">
        <v>39558</v>
      </c>
      <c r="E6" t="s">
        <v>85</v>
      </c>
      <c r="F6" t="s">
        <v>86</v>
      </c>
      <c r="G6" t="s">
        <v>87</v>
      </c>
      <c r="H6" t="s">
        <v>35</v>
      </c>
      <c r="I6" t="s">
        <v>87</v>
      </c>
      <c r="J6" t="s">
        <v>54</v>
      </c>
      <c r="K6">
        <v>165</v>
      </c>
      <c r="L6">
        <v>7</v>
      </c>
      <c r="M6">
        <v>166</v>
      </c>
      <c r="N6">
        <v>5</v>
      </c>
      <c r="O6" t="s">
        <v>35</v>
      </c>
      <c r="P6" t="s">
        <v>38</v>
      </c>
      <c r="Q6">
        <v>0</v>
      </c>
      <c r="R6">
        <v>5</v>
      </c>
      <c r="S6" t="s">
        <v>88</v>
      </c>
      <c r="T6" t="s">
        <v>40</v>
      </c>
      <c r="U6" t="s">
        <v>89</v>
      </c>
      <c r="V6" t="s">
        <v>90</v>
      </c>
      <c r="W6" t="s">
        <v>91</v>
      </c>
      <c r="X6" t="s">
        <v>92</v>
      </c>
      <c r="Y6" t="s">
        <v>45</v>
      </c>
      <c r="Z6">
        <v>20</v>
      </c>
      <c r="AA6">
        <v>6</v>
      </c>
      <c r="AB6" t="s">
        <v>46</v>
      </c>
      <c r="AC6" t="s">
        <v>47</v>
      </c>
      <c r="AD6" t="s">
        <v>93</v>
      </c>
      <c r="AE6" t="s">
        <v>94</v>
      </c>
    </row>
    <row r="7" spans="1:31" x14ac:dyDescent="0.2">
      <c r="A7" t="s">
        <v>31</v>
      </c>
      <c r="B7" t="s">
        <v>32</v>
      </c>
      <c r="C7">
        <v>6</v>
      </c>
      <c r="D7" s="1">
        <v>39559</v>
      </c>
      <c r="E7" t="s">
        <v>95</v>
      </c>
      <c r="F7" t="s">
        <v>96</v>
      </c>
      <c r="G7" t="s">
        <v>66</v>
      </c>
      <c r="H7" t="s">
        <v>52</v>
      </c>
      <c r="I7" t="s">
        <v>52</v>
      </c>
      <c r="J7" t="s">
        <v>54</v>
      </c>
      <c r="K7">
        <v>168</v>
      </c>
      <c r="L7">
        <v>4</v>
      </c>
      <c r="M7">
        <v>166</v>
      </c>
      <c r="N7">
        <v>8</v>
      </c>
      <c r="O7" t="s">
        <v>66</v>
      </c>
      <c r="P7" t="s">
        <v>38</v>
      </c>
      <c r="Q7">
        <v>0</v>
      </c>
      <c r="R7">
        <v>6</v>
      </c>
      <c r="S7" t="s">
        <v>97</v>
      </c>
      <c r="T7" t="s">
        <v>56</v>
      </c>
      <c r="U7" t="s">
        <v>69</v>
      </c>
      <c r="V7" t="s">
        <v>59</v>
      </c>
      <c r="W7" t="s">
        <v>98</v>
      </c>
      <c r="X7" t="s">
        <v>60</v>
      </c>
      <c r="Y7" t="s">
        <v>45</v>
      </c>
      <c r="Z7">
        <v>20</v>
      </c>
      <c r="AA7">
        <v>6</v>
      </c>
      <c r="AB7" t="s">
        <v>46</v>
      </c>
      <c r="AC7" t="s">
        <v>47</v>
      </c>
      <c r="AD7" t="s">
        <v>99</v>
      </c>
      <c r="AE7" t="s">
        <v>100</v>
      </c>
    </row>
    <row r="8" spans="1:31" x14ac:dyDescent="0.2">
      <c r="A8" t="s">
        <v>31</v>
      </c>
      <c r="B8" t="s">
        <v>32</v>
      </c>
      <c r="C8">
        <v>7</v>
      </c>
      <c r="D8" s="1">
        <v>39560</v>
      </c>
      <c r="E8" t="s">
        <v>101</v>
      </c>
      <c r="F8" t="s">
        <v>102</v>
      </c>
      <c r="G8" t="s">
        <v>77</v>
      </c>
      <c r="H8" t="s">
        <v>65</v>
      </c>
      <c r="I8" t="s">
        <v>77</v>
      </c>
      <c r="J8" t="s">
        <v>54</v>
      </c>
      <c r="K8">
        <v>142</v>
      </c>
      <c r="L8">
        <v>8</v>
      </c>
      <c r="M8">
        <v>143</v>
      </c>
      <c r="N8">
        <v>1</v>
      </c>
      <c r="O8" t="s">
        <v>65</v>
      </c>
      <c r="P8" t="s">
        <v>38</v>
      </c>
      <c r="Q8">
        <v>0</v>
      </c>
      <c r="R8">
        <v>9</v>
      </c>
      <c r="S8" t="s">
        <v>103</v>
      </c>
      <c r="T8" t="s">
        <v>104</v>
      </c>
      <c r="U8" t="s">
        <v>71</v>
      </c>
      <c r="V8" t="s">
        <v>43</v>
      </c>
      <c r="W8" t="s">
        <v>57</v>
      </c>
      <c r="X8" t="s">
        <v>105</v>
      </c>
      <c r="Y8" t="s">
        <v>45</v>
      </c>
      <c r="Z8">
        <v>20</v>
      </c>
      <c r="AA8">
        <v>6</v>
      </c>
      <c r="AB8" t="s">
        <v>46</v>
      </c>
      <c r="AC8" t="s">
        <v>47</v>
      </c>
      <c r="AD8" t="s">
        <v>106</v>
      </c>
      <c r="AE8" t="s">
        <v>107</v>
      </c>
    </row>
    <row r="9" spans="1:31" x14ac:dyDescent="0.2">
      <c r="A9" t="s">
        <v>31</v>
      </c>
      <c r="B9" t="s">
        <v>32</v>
      </c>
      <c r="C9">
        <v>8</v>
      </c>
      <c r="D9" s="1">
        <v>39561</v>
      </c>
      <c r="E9" t="s">
        <v>108</v>
      </c>
      <c r="F9" t="s">
        <v>109</v>
      </c>
      <c r="G9" t="s">
        <v>53</v>
      </c>
      <c r="H9" t="s">
        <v>87</v>
      </c>
      <c r="I9" t="s">
        <v>87</v>
      </c>
      <c r="J9" t="s">
        <v>37</v>
      </c>
      <c r="K9">
        <v>208</v>
      </c>
      <c r="L9">
        <v>5</v>
      </c>
      <c r="M9">
        <v>202</v>
      </c>
      <c r="N9">
        <v>7</v>
      </c>
      <c r="O9" t="s">
        <v>53</v>
      </c>
      <c r="P9" t="s">
        <v>38</v>
      </c>
      <c r="Q9">
        <v>6</v>
      </c>
      <c r="R9">
        <v>0</v>
      </c>
      <c r="S9" t="s">
        <v>110</v>
      </c>
      <c r="T9" t="s">
        <v>79</v>
      </c>
      <c r="U9" t="s">
        <v>90</v>
      </c>
      <c r="V9" t="s">
        <v>70</v>
      </c>
      <c r="W9" t="s">
        <v>80</v>
      </c>
      <c r="X9" t="s">
        <v>111</v>
      </c>
      <c r="Y9" t="s">
        <v>45</v>
      </c>
      <c r="Z9">
        <v>20</v>
      </c>
      <c r="AA9">
        <v>6</v>
      </c>
      <c r="AB9" t="s">
        <v>46</v>
      </c>
      <c r="AC9" t="s">
        <v>47</v>
      </c>
      <c r="AD9" t="s">
        <v>112</v>
      </c>
      <c r="AE9" t="s">
        <v>113</v>
      </c>
    </row>
    <row r="10" spans="1:31" x14ac:dyDescent="0.2">
      <c r="A10" t="s">
        <v>31</v>
      </c>
      <c r="B10" t="s">
        <v>32</v>
      </c>
      <c r="C10">
        <v>9</v>
      </c>
      <c r="D10" s="1">
        <v>39562</v>
      </c>
      <c r="E10" t="s">
        <v>101</v>
      </c>
      <c r="F10" t="s">
        <v>102</v>
      </c>
      <c r="G10" t="s">
        <v>77</v>
      </c>
      <c r="H10" t="s">
        <v>66</v>
      </c>
      <c r="I10" t="s">
        <v>66</v>
      </c>
      <c r="J10" t="s">
        <v>37</v>
      </c>
      <c r="K10">
        <v>214</v>
      </c>
      <c r="L10">
        <v>5</v>
      </c>
      <c r="M10">
        <v>217</v>
      </c>
      <c r="N10">
        <v>7</v>
      </c>
      <c r="O10" t="s">
        <v>66</v>
      </c>
      <c r="P10" t="s">
        <v>38</v>
      </c>
      <c r="Q10">
        <v>0</v>
      </c>
      <c r="R10">
        <v>3</v>
      </c>
      <c r="S10" t="s">
        <v>114</v>
      </c>
      <c r="T10" t="s">
        <v>56</v>
      </c>
      <c r="U10" t="s">
        <v>41</v>
      </c>
      <c r="V10" t="s">
        <v>57</v>
      </c>
      <c r="W10" t="s">
        <v>58</v>
      </c>
      <c r="X10" t="s">
        <v>105</v>
      </c>
      <c r="Y10" t="s">
        <v>45</v>
      </c>
      <c r="Z10">
        <v>20</v>
      </c>
      <c r="AA10">
        <v>6</v>
      </c>
      <c r="AB10" t="s">
        <v>46</v>
      </c>
      <c r="AC10" t="s">
        <v>47</v>
      </c>
      <c r="AD10" t="s">
        <v>115</v>
      </c>
      <c r="AE10" t="s">
        <v>116</v>
      </c>
    </row>
    <row r="11" spans="1:31" x14ac:dyDescent="0.2">
      <c r="A11" t="s">
        <v>31</v>
      </c>
      <c r="B11" t="s">
        <v>32</v>
      </c>
      <c r="C11">
        <v>10</v>
      </c>
      <c r="D11" s="1">
        <v>39563</v>
      </c>
      <c r="E11" t="s">
        <v>50</v>
      </c>
      <c r="F11" t="s">
        <v>51</v>
      </c>
      <c r="G11" t="s">
        <v>52</v>
      </c>
      <c r="H11" t="s">
        <v>87</v>
      </c>
      <c r="I11" t="s">
        <v>87</v>
      </c>
      <c r="J11" t="s">
        <v>37</v>
      </c>
      <c r="K11">
        <v>182</v>
      </c>
      <c r="L11">
        <v>10</v>
      </c>
      <c r="M11">
        <v>116</v>
      </c>
      <c r="N11">
        <v>9</v>
      </c>
      <c r="O11" t="s">
        <v>52</v>
      </c>
      <c r="P11" t="s">
        <v>38</v>
      </c>
      <c r="Q11">
        <v>66</v>
      </c>
      <c r="R11">
        <v>0</v>
      </c>
      <c r="S11" t="s">
        <v>117</v>
      </c>
      <c r="T11" t="s">
        <v>79</v>
      </c>
      <c r="U11" t="s">
        <v>69</v>
      </c>
      <c r="V11" t="s">
        <v>43</v>
      </c>
      <c r="W11" t="s">
        <v>42</v>
      </c>
      <c r="X11" t="s">
        <v>118</v>
      </c>
      <c r="Y11" t="s">
        <v>45</v>
      </c>
      <c r="Z11">
        <v>20</v>
      </c>
      <c r="AA11">
        <v>6</v>
      </c>
      <c r="AB11" t="s">
        <v>46</v>
      </c>
      <c r="AC11" t="s">
        <v>47</v>
      </c>
      <c r="AD11" t="s">
        <v>119</v>
      </c>
      <c r="AE11" t="s">
        <v>120</v>
      </c>
    </row>
    <row r="12" spans="1:31" x14ac:dyDescent="0.2">
      <c r="A12" t="s">
        <v>31</v>
      </c>
      <c r="B12" t="s">
        <v>32</v>
      </c>
      <c r="C12">
        <v>11</v>
      </c>
      <c r="D12" s="1">
        <v>39564</v>
      </c>
      <c r="E12" t="s">
        <v>108</v>
      </c>
      <c r="F12" t="s">
        <v>109</v>
      </c>
      <c r="G12" t="s">
        <v>53</v>
      </c>
      <c r="H12" t="s">
        <v>36</v>
      </c>
      <c r="I12" t="s">
        <v>36</v>
      </c>
      <c r="J12" t="s">
        <v>54</v>
      </c>
      <c r="K12">
        <v>152</v>
      </c>
      <c r="L12">
        <v>1</v>
      </c>
      <c r="M12">
        <v>147</v>
      </c>
      <c r="N12">
        <v>9</v>
      </c>
      <c r="O12" t="s">
        <v>53</v>
      </c>
      <c r="P12" t="s">
        <v>38</v>
      </c>
      <c r="Q12">
        <v>0</v>
      </c>
      <c r="R12">
        <v>9</v>
      </c>
      <c r="S12" t="s">
        <v>121</v>
      </c>
      <c r="T12" t="s">
        <v>104</v>
      </c>
      <c r="U12" t="s">
        <v>80</v>
      </c>
      <c r="V12" t="s">
        <v>91</v>
      </c>
      <c r="W12" t="s">
        <v>89</v>
      </c>
      <c r="X12" t="s">
        <v>111</v>
      </c>
      <c r="Y12" t="s">
        <v>45</v>
      </c>
      <c r="Z12">
        <v>20</v>
      </c>
      <c r="AA12">
        <v>6</v>
      </c>
      <c r="AB12" t="s">
        <v>46</v>
      </c>
      <c r="AC12" t="s">
        <v>47</v>
      </c>
      <c r="AD12" t="s">
        <v>122</v>
      </c>
      <c r="AE12" t="s">
        <v>123</v>
      </c>
    </row>
    <row r="13" spans="1:31" x14ac:dyDescent="0.2">
      <c r="A13" t="s">
        <v>31</v>
      </c>
      <c r="B13" t="s">
        <v>32</v>
      </c>
      <c r="C13">
        <v>12</v>
      </c>
      <c r="D13" s="1">
        <v>39564</v>
      </c>
      <c r="E13" t="s">
        <v>33</v>
      </c>
      <c r="F13" t="s">
        <v>34</v>
      </c>
      <c r="G13" t="s">
        <v>35</v>
      </c>
      <c r="H13" t="s">
        <v>66</v>
      </c>
      <c r="I13" t="s">
        <v>66</v>
      </c>
      <c r="J13" t="s">
        <v>37</v>
      </c>
      <c r="K13">
        <v>135</v>
      </c>
      <c r="L13">
        <v>8</v>
      </c>
      <c r="M13">
        <v>138</v>
      </c>
      <c r="N13">
        <v>3</v>
      </c>
      <c r="O13" t="s">
        <v>66</v>
      </c>
      <c r="P13" t="s">
        <v>38</v>
      </c>
      <c r="Q13">
        <v>0</v>
      </c>
      <c r="R13">
        <v>7</v>
      </c>
      <c r="S13" t="s">
        <v>97</v>
      </c>
      <c r="T13" t="s">
        <v>40</v>
      </c>
      <c r="U13" t="s">
        <v>57</v>
      </c>
      <c r="V13" t="s">
        <v>71</v>
      </c>
      <c r="W13" t="s">
        <v>70</v>
      </c>
      <c r="X13" t="s">
        <v>124</v>
      </c>
      <c r="Y13" t="s">
        <v>45</v>
      </c>
      <c r="Z13">
        <v>20</v>
      </c>
      <c r="AA13">
        <v>6</v>
      </c>
      <c r="AB13" t="s">
        <v>46</v>
      </c>
      <c r="AC13" t="s">
        <v>47</v>
      </c>
      <c r="AD13" t="s">
        <v>125</v>
      </c>
      <c r="AE13" t="s">
        <v>126</v>
      </c>
    </row>
    <row r="14" spans="1:31" x14ac:dyDescent="0.2">
      <c r="A14" t="s">
        <v>31</v>
      </c>
      <c r="B14" t="s">
        <v>32</v>
      </c>
      <c r="C14">
        <v>13</v>
      </c>
      <c r="D14" s="1">
        <v>39565</v>
      </c>
      <c r="E14" t="s">
        <v>50</v>
      </c>
      <c r="F14" t="s">
        <v>51</v>
      </c>
      <c r="G14" t="s">
        <v>52</v>
      </c>
      <c r="H14" t="s">
        <v>65</v>
      </c>
      <c r="I14" t="s">
        <v>65</v>
      </c>
      <c r="J14" t="s">
        <v>54</v>
      </c>
      <c r="K14">
        <v>162</v>
      </c>
      <c r="L14">
        <v>6</v>
      </c>
      <c r="M14">
        <v>158</v>
      </c>
      <c r="N14">
        <v>8</v>
      </c>
      <c r="O14" t="s">
        <v>52</v>
      </c>
      <c r="P14" t="s">
        <v>38</v>
      </c>
      <c r="Q14">
        <v>0</v>
      </c>
      <c r="R14">
        <v>4</v>
      </c>
      <c r="S14" t="s">
        <v>127</v>
      </c>
      <c r="T14" t="s">
        <v>79</v>
      </c>
      <c r="U14" t="s">
        <v>42</v>
      </c>
      <c r="V14" t="s">
        <v>98</v>
      </c>
      <c r="W14" t="s">
        <v>69</v>
      </c>
      <c r="X14" t="s">
        <v>128</v>
      </c>
      <c r="Y14" t="s">
        <v>45</v>
      </c>
      <c r="Z14">
        <v>20</v>
      </c>
      <c r="AA14">
        <v>6</v>
      </c>
      <c r="AB14" t="s">
        <v>46</v>
      </c>
      <c r="AC14" t="s">
        <v>47</v>
      </c>
      <c r="AD14" t="s">
        <v>129</v>
      </c>
      <c r="AE14" t="s">
        <v>130</v>
      </c>
    </row>
    <row r="15" spans="1:31" x14ac:dyDescent="0.2">
      <c r="A15" t="s">
        <v>31</v>
      </c>
      <c r="B15" t="s">
        <v>32</v>
      </c>
      <c r="C15">
        <v>14</v>
      </c>
      <c r="D15" s="1">
        <v>39565</v>
      </c>
      <c r="E15" t="s">
        <v>85</v>
      </c>
      <c r="F15" t="s">
        <v>131</v>
      </c>
      <c r="G15" t="s">
        <v>87</v>
      </c>
      <c r="H15" t="s">
        <v>77</v>
      </c>
      <c r="I15" t="s">
        <v>77</v>
      </c>
      <c r="J15" t="s">
        <v>37</v>
      </c>
      <c r="K15">
        <v>154</v>
      </c>
      <c r="L15">
        <v>7</v>
      </c>
      <c r="M15">
        <v>155</v>
      </c>
      <c r="N15">
        <v>0</v>
      </c>
      <c r="O15" t="s">
        <v>77</v>
      </c>
      <c r="P15" t="s">
        <v>38</v>
      </c>
      <c r="Q15">
        <v>0</v>
      </c>
      <c r="R15">
        <v>10</v>
      </c>
      <c r="S15" t="s">
        <v>132</v>
      </c>
      <c r="T15" t="s">
        <v>56</v>
      </c>
      <c r="U15" t="s">
        <v>41</v>
      </c>
      <c r="V15" t="s">
        <v>58</v>
      </c>
      <c r="W15" t="s">
        <v>90</v>
      </c>
      <c r="X15" t="s">
        <v>133</v>
      </c>
      <c r="Y15" t="s">
        <v>45</v>
      </c>
      <c r="Z15">
        <v>20</v>
      </c>
      <c r="AA15">
        <v>6</v>
      </c>
      <c r="AB15" t="s">
        <v>46</v>
      </c>
      <c r="AC15" t="s">
        <v>47</v>
      </c>
      <c r="AD15" t="s">
        <v>134</v>
      </c>
      <c r="AE15" t="s">
        <v>135</v>
      </c>
    </row>
    <row r="16" spans="1:31" x14ac:dyDescent="0.2">
      <c r="A16" t="s">
        <v>31</v>
      </c>
      <c r="B16" t="s">
        <v>32</v>
      </c>
      <c r="C16">
        <v>15</v>
      </c>
      <c r="D16" s="1">
        <v>39566</v>
      </c>
      <c r="E16" t="s">
        <v>33</v>
      </c>
      <c r="F16" t="s">
        <v>34</v>
      </c>
      <c r="G16" t="s">
        <v>35</v>
      </c>
      <c r="H16" t="s">
        <v>53</v>
      </c>
      <c r="I16" t="s">
        <v>53</v>
      </c>
      <c r="J16" t="s">
        <v>54</v>
      </c>
      <c r="K16">
        <v>165</v>
      </c>
      <c r="L16">
        <v>10</v>
      </c>
      <c r="M16">
        <v>178</v>
      </c>
      <c r="N16">
        <v>5</v>
      </c>
      <c r="O16" t="s">
        <v>53</v>
      </c>
      <c r="P16" t="s">
        <v>38</v>
      </c>
      <c r="Q16">
        <v>13</v>
      </c>
      <c r="R16">
        <v>0</v>
      </c>
      <c r="S16" t="s">
        <v>136</v>
      </c>
      <c r="T16" t="s">
        <v>40</v>
      </c>
      <c r="U16" t="s">
        <v>137</v>
      </c>
      <c r="V16" t="s">
        <v>59</v>
      </c>
      <c r="W16" t="s">
        <v>81</v>
      </c>
      <c r="X16" t="s">
        <v>72</v>
      </c>
      <c r="Y16" t="s">
        <v>45</v>
      </c>
      <c r="Z16">
        <v>20</v>
      </c>
      <c r="AA16">
        <v>6</v>
      </c>
      <c r="AB16" t="s">
        <v>46</v>
      </c>
      <c r="AC16" t="s">
        <v>47</v>
      </c>
      <c r="AD16" t="s">
        <v>138</v>
      </c>
      <c r="AE16" t="s">
        <v>139</v>
      </c>
    </row>
    <row r="17" spans="1:31" x14ac:dyDescent="0.2">
      <c r="A17" t="s">
        <v>31</v>
      </c>
      <c r="B17" t="s">
        <v>32</v>
      </c>
      <c r="C17">
        <v>16</v>
      </c>
      <c r="D17" s="1">
        <v>39567</v>
      </c>
      <c r="E17" t="s">
        <v>75</v>
      </c>
      <c r="F17" t="s">
        <v>76</v>
      </c>
      <c r="G17" t="s">
        <v>36</v>
      </c>
      <c r="H17" t="s">
        <v>87</v>
      </c>
      <c r="I17" t="s">
        <v>36</v>
      </c>
      <c r="J17" t="s">
        <v>54</v>
      </c>
      <c r="K17">
        <v>137</v>
      </c>
      <c r="L17">
        <v>8</v>
      </c>
      <c r="M17">
        <v>138</v>
      </c>
      <c r="N17">
        <v>3</v>
      </c>
      <c r="O17" t="s">
        <v>87</v>
      </c>
      <c r="P17" t="s">
        <v>38</v>
      </c>
      <c r="Q17">
        <v>0</v>
      </c>
      <c r="R17">
        <v>7</v>
      </c>
      <c r="S17" t="s">
        <v>140</v>
      </c>
      <c r="T17" t="s">
        <v>56</v>
      </c>
      <c r="U17" t="s">
        <v>80</v>
      </c>
      <c r="V17" t="s">
        <v>91</v>
      </c>
      <c r="W17" t="s">
        <v>57</v>
      </c>
      <c r="X17" t="s">
        <v>141</v>
      </c>
      <c r="Y17" t="s">
        <v>45</v>
      </c>
      <c r="Z17">
        <v>20</v>
      </c>
      <c r="AA17">
        <v>6</v>
      </c>
      <c r="AB17" t="s">
        <v>46</v>
      </c>
      <c r="AC17" t="s">
        <v>47</v>
      </c>
      <c r="AD17" t="s">
        <v>142</v>
      </c>
      <c r="AE17" t="s">
        <v>143</v>
      </c>
    </row>
    <row r="18" spans="1:31" x14ac:dyDescent="0.2">
      <c r="A18" t="s">
        <v>31</v>
      </c>
      <c r="B18" t="s">
        <v>32</v>
      </c>
      <c r="C18">
        <v>17</v>
      </c>
      <c r="D18" s="1">
        <v>39568</v>
      </c>
      <c r="E18" t="s">
        <v>63</v>
      </c>
      <c r="F18" t="s">
        <v>64</v>
      </c>
      <c r="G18" t="s">
        <v>65</v>
      </c>
      <c r="H18" t="s">
        <v>35</v>
      </c>
      <c r="I18" t="s">
        <v>35</v>
      </c>
      <c r="J18" t="s">
        <v>37</v>
      </c>
      <c r="K18">
        <v>191</v>
      </c>
      <c r="L18">
        <v>5</v>
      </c>
      <c r="M18">
        <v>181</v>
      </c>
      <c r="N18">
        <v>5</v>
      </c>
      <c r="O18" t="s">
        <v>65</v>
      </c>
      <c r="P18" t="s">
        <v>38</v>
      </c>
      <c r="Q18">
        <v>10</v>
      </c>
      <c r="R18">
        <v>0</v>
      </c>
      <c r="S18" t="s">
        <v>144</v>
      </c>
      <c r="T18" t="s">
        <v>145</v>
      </c>
      <c r="U18" t="s">
        <v>69</v>
      </c>
      <c r="V18" t="s">
        <v>98</v>
      </c>
      <c r="W18" t="s">
        <v>71</v>
      </c>
      <c r="X18" t="s">
        <v>146</v>
      </c>
      <c r="Y18" t="s">
        <v>45</v>
      </c>
      <c r="Z18">
        <v>20</v>
      </c>
      <c r="AA18">
        <v>6</v>
      </c>
      <c r="AB18" t="s">
        <v>46</v>
      </c>
      <c r="AC18" t="s">
        <v>47</v>
      </c>
      <c r="AD18" t="s">
        <v>147</v>
      </c>
      <c r="AE18" t="s">
        <v>148</v>
      </c>
    </row>
    <row r="19" spans="1:31" x14ac:dyDescent="0.2">
      <c r="A19" t="s">
        <v>31</v>
      </c>
      <c r="B19" t="s">
        <v>32</v>
      </c>
      <c r="C19">
        <v>18</v>
      </c>
      <c r="D19" s="1">
        <v>39569</v>
      </c>
      <c r="E19" t="s">
        <v>95</v>
      </c>
      <c r="F19" t="s">
        <v>96</v>
      </c>
      <c r="G19" t="s">
        <v>66</v>
      </c>
      <c r="H19" t="s">
        <v>36</v>
      </c>
      <c r="I19" t="s">
        <v>66</v>
      </c>
      <c r="J19" t="s">
        <v>54</v>
      </c>
      <c r="K19">
        <v>196</v>
      </c>
      <c r="L19">
        <v>7</v>
      </c>
      <c r="M19">
        <v>151</v>
      </c>
      <c r="N19">
        <v>10</v>
      </c>
      <c r="O19" t="s">
        <v>66</v>
      </c>
      <c r="P19" t="s">
        <v>38</v>
      </c>
      <c r="Q19">
        <v>45</v>
      </c>
      <c r="R19">
        <v>0</v>
      </c>
      <c r="S19" t="s">
        <v>149</v>
      </c>
      <c r="T19" t="s">
        <v>79</v>
      </c>
      <c r="U19" t="s">
        <v>42</v>
      </c>
      <c r="V19" t="s">
        <v>70</v>
      </c>
      <c r="W19" t="s">
        <v>41</v>
      </c>
      <c r="X19" t="s">
        <v>60</v>
      </c>
      <c r="Y19" t="s">
        <v>45</v>
      </c>
      <c r="Z19">
        <v>20</v>
      </c>
      <c r="AA19">
        <v>6</v>
      </c>
      <c r="AB19" t="s">
        <v>46</v>
      </c>
      <c r="AC19" t="s">
        <v>47</v>
      </c>
      <c r="AD19" t="s">
        <v>150</v>
      </c>
      <c r="AE19" t="s">
        <v>151</v>
      </c>
    </row>
    <row r="20" spans="1:31" x14ac:dyDescent="0.2">
      <c r="A20" t="s">
        <v>31</v>
      </c>
      <c r="B20" t="s">
        <v>32</v>
      </c>
      <c r="C20">
        <v>19</v>
      </c>
      <c r="D20" s="1">
        <v>39569</v>
      </c>
      <c r="E20" t="s">
        <v>101</v>
      </c>
      <c r="F20" t="s">
        <v>102</v>
      </c>
      <c r="G20" t="s">
        <v>77</v>
      </c>
      <c r="H20" t="s">
        <v>52</v>
      </c>
      <c r="I20" t="s">
        <v>52</v>
      </c>
      <c r="J20" t="s">
        <v>37</v>
      </c>
      <c r="K20">
        <v>164</v>
      </c>
      <c r="L20">
        <v>8</v>
      </c>
      <c r="M20">
        <v>167</v>
      </c>
      <c r="N20">
        <v>3</v>
      </c>
      <c r="O20" t="s">
        <v>52</v>
      </c>
      <c r="P20" t="s">
        <v>38</v>
      </c>
      <c r="Q20">
        <v>0</v>
      </c>
      <c r="R20">
        <v>7</v>
      </c>
      <c r="S20" t="s">
        <v>152</v>
      </c>
      <c r="T20" t="s">
        <v>104</v>
      </c>
      <c r="U20" t="s">
        <v>137</v>
      </c>
      <c r="V20" t="s">
        <v>59</v>
      </c>
      <c r="W20" t="s">
        <v>89</v>
      </c>
      <c r="X20" t="s">
        <v>105</v>
      </c>
      <c r="Y20" t="s">
        <v>45</v>
      </c>
      <c r="Z20">
        <v>20</v>
      </c>
      <c r="AA20">
        <v>6</v>
      </c>
      <c r="AB20" t="s">
        <v>46</v>
      </c>
      <c r="AC20" t="s">
        <v>47</v>
      </c>
      <c r="AD20" t="s">
        <v>153</v>
      </c>
      <c r="AE20" t="s">
        <v>154</v>
      </c>
    </row>
    <row r="21" spans="1:31" x14ac:dyDescent="0.2">
      <c r="A21" t="s">
        <v>31</v>
      </c>
      <c r="B21" t="s">
        <v>32</v>
      </c>
      <c r="C21">
        <v>20</v>
      </c>
      <c r="D21" s="1">
        <v>39570</v>
      </c>
      <c r="E21" t="s">
        <v>108</v>
      </c>
      <c r="F21" t="s">
        <v>109</v>
      </c>
      <c r="G21" t="s">
        <v>53</v>
      </c>
      <c r="H21" t="s">
        <v>65</v>
      </c>
      <c r="I21" t="s">
        <v>53</v>
      </c>
      <c r="J21" t="s">
        <v>54</v>
      </c>
      <c r="K21">
        <v>169</v>
      </c>
      <c r="L21">
        <v>6</v>
      </c>
      <c r="M21">
        <v>172</v>
      </c>
      <c r="N21">
        <v>2</v>
      </c>
      <c r="O21" t="s">
        <v>65</v>
      </c>
      <c r="P21" t="s">
        <v>38</v>
      </c>
      <c r="Q21">
        <v>0</v>
      </c>
      <c r="R21">
        <v>8</v>
      </c>
      <c r="S21" t="s">
        <v>103</v>
      </c>
      <c r="T21" t="s">
        <v>56</v>
      </c>
      <c r="U21" t="s">
        <v>80</v>
      </c>
      <c r="V21" t="s">
        <v>81</v>
      </c>
      <c r="W21" t="s">
        <v>57</v>
      </c>
      <c r="X21" t="s">
        <v>111</v>
      </c>
      <c r="Y21" t="s">
        <v>45</v>
      </c>
      <c r="Z21">
        <v>20</v>
      </c>
      <c r="AA21">
        <v>6</v>
      </c>
      <c r="AB21" t="s">
        <v>46</v>
      </c>
      <c r="AC21" t="s">
        <v>47</v>
      </c>
      <c r="AD21" t="s">
        <v>155</v>
      </c>
      <c r="AE21" t="s">
        <v>156</v>
      </c>
    </row>
    <row r="22" spans="1:31" x14ac:dyDescent="0.2">
      <c r="A22" t="s">
        <v>31</v>
      </c>
      <c r="B22" t="s">
        <v>32</v>
      </c>
      <c r="C22">
        <v>21</v>
      </c>
      <c r="D22" s="1">
        <v>39571</v>
      </c>
      <c r="E22" t="s">
        <v>33</v>
      </c>
      <c r="F22" t="s">
        <v>34</v>
      </c>
      <c r="G22" t="s">
        <v>35</v>
      </c>
      <c r="H22" t="s">
        <v>77</v>
      </c>
      <c r="I22" t="s">
        <v>77</v>
      </c>
      <c r="J22" t="s">
        <v>37</v>
      </c>
      <c r="K22">
        <v>156</v>
      </c>
      <c r="L22">
        <v>8</v>
      </c>
      <c r="M22">
        <v>153</v>
      </c>
      <c r="N22">
        <v>6</v>
      </c>
      <c r="O22" t="s">
        <v>35</v>
      </c>
      <c r="P22" t="s">
        <v>38</v>
      </c>
      <c r="Q22">
        <v>3</v>
      </c>
      <c r="R22">
        <v>0</v>
      </c>
      <c r="S22" t="s">
        <v>157</v>
      </c>
      <c r="T22" t="s">
        <v>104</v>
      </c>
      <c r="U22" t="s">
        <v>137</v>
      </c>
      <c r="V22" t="s">
        <v>58</v>
      </c>
      <c r="W22" t="s">
        <v>124</v>
      </c>
      <c r="X22" t="s">
        <v>158</v>
      </c>
      <c r="Y22" t="s">
        <v>45</v>
      </c>
      <c r="Z22">
        <v>20</v>
      </c>
      <c r="AA22">
        <v>6</v>
      </c>
      <c r="AB22" t="s">
        <v>46</v>
      </c>
      <c r="AC22" t="s">
        <v>47</v>
      </c>
      <c r="AD22" t="s">
        <v>159</v>
      </c>
      <c r="AE22" t="s">
        <v>160</v>
      </c>
    </row>
    <row r="23" spans="1:31" x14ac:dyDescent="0.2">
      <c r="A23" t="s">
        <v>31</v>
      </c>
      <c r="B23" t="s">
        <v>32</v>
      </c>
      <c r="C23">
        <v>22</v>
      </c>
      <c r="D23" s="1">
        <v>39571</v>
      </c>
      <c r="E23" t="s">
        <v>50</v>
      </c>
      <c r="F23" t="s">
        <v>51</v>
      </c>
      <c r="G23" t="s">
        <v>52</v>
      </c>
      <c r="H23" t="s">
        <v>36</v>
      </c>
      <c r="I23" t="s">
        <v>52</v>
      </c>
      <c r="J23" t="s">
        <v>54</v>
      </c>
      <c r="K23">
        <v>178</v>
      </c>
      <c r="L23">
        <v>6</v>
      </c>
      <c r="M23">
        <v>169</v>
      </c>
      <c r="N23">
        <v>6</v>
      </c>
      <c r="O23" t="s">
        <v>52</v>
      </c>
      <c r="P23" t="s">
        <v>38</v>
      </c>
      <c r="Q23">
        <v>9</v>
      </c>
      <c r="R23">
        <v>0</v>
      </c>
      <c r="S23" t="s">
        <v>161</v>
      </c>
      <c r="T23" t="s">
        <v>145</v>
      </c>
      <c r="U23" t="s">
        <v>90</v>
      </c>
      <c r="V23" t="s">
        <v>98</v>
      </c>
      <c r="W23" t="s">
        <v>89</v>
      </c>
      <c r="X23" t="s">
        <v>128</v>
      </c>
      <c r="Y23" t="s">
        <v>45</v>
      </c>
      <c r="Z23">
        <v>20</v>
      </c>
      <c r="AA23">
        <v>6</v>
      </c>
      <c r="AB23" t="s">
        <v>46</v>
      </c>
      <c r="AC23" t="s">
        <v>47</v>
      </c>
      <c r="AD23" t="s">
        <v>162</v>
      </c>
      <c r="AE23" t="s">
        <v>163</v>
      </c>
    </row>
    <row r="24" spans="1:31" x14ac:dyDescent="0.2">
      <c r="A24" t="s">
        <v>31</v>
      </c>
      <c r="B24" t="s">
        <v>32</v>
      </c>
      <c r="C24">
        <v>23</v>
      </c>
      <c r="D24" s="1">
        <v>39572</v>
      </c>
      <c r="E24" t="s">
        <v>85</v>
      </c>
      <c r="F24" t="s">
        <v>131</v>
      </c>
      <c r="G24" t="s">
        <v>87</v>
      </c>
      <c r="H24" t="s">
        <v>65</v>
      </c>
      <c r="I24" t="s">
        <v>65</v>
      </c>
      <c r="J24" t="s">
        <v>37</v>
      </c>
      <c r="K24">
        <v>162</v>
      </c>
      <c r="L24">
        <v>8</v>
      </c>
      <c r="M24">
        <v>133</v>
      </c>
      <c r="N24">
        <v>10</v>
      </c>
      <c r="O24" t="s">
        <v>87</v>
      </c>
      <c r="P24" t="s">
        <v>38</v>
      </c>
      <c r="Q24">
        <v>29</v>
      </c>
      <c r="R24">
        <v>0</v>
      </c>
      <c r="S24" t="s">
        <v>164</v>
      </c>
      <c r="T24" t="s">
        <v>40</v>
      </c>
      <c r="U24" t="s">
        <v>71</v>
      </c>
      <c r="V24" t="s">
        <v>42</v>
      </c>
      <c r="W24" t="s">
        <v>80</v>
      </c>
      <c r="X24" t="s">
        <v>165</v>
      </c>
      <c r="Y24" t="s">
        <v>45</v>
      </c>
      <c r="Z24">
        <v>20</v>
      </c>
      <c r="AA24">
        <v>6</v>
      </c>
      <c r="AB24" t="s">
        <v>46</v>
      </c>
      <c r="AC24" t="s">
        <v>47</v>
      </c>
      <c r="AD24" t="s">
        <v>166</v>
      </c>
      <c r="AE24" t="s">
        <v>167</v>
      </c>
    </row>
    <row r="25" spans="1:31" x14ac:dyDescent="0.2">
      <c r="A25" t="s">
        <v>31</v>
      </c>
      <c r="B25" t="s">
        <v>32</v>
      </c>
      <c r="C25">
        <v>24</v>
      </c>
      <c r="D25" s="1">
        <v>39572</v>
      </c>
      <c r="E25" t="s">
        <v>95</v>
      </c>
      <c r="F25" t="s">
        <v>96</v>
      </c>
      <c r="G25" t="s">
        <v>66</v>
      </c>
      <c r="H25" t="s">
        <v>53</v>
      </c>
      <c r="I25" t="s">
        <v>53</v>
      </c>
      <c r="J25" t="s">
        <v>54</v>
      </c>
      <c r="K25">
        <v>110</v>
      </c>
      <c r="L25">
        <v>2</v>
      </c>
      <c r="M25">
        <v>109</v>
      </c>
      <c r="N25">
        <v>10</v>
      </c>
      <c r="O25" t="s">
        <v>66</v>
      </c>
      <c r="P25" t="s">
        <v>38</v>
      </c>
      <c r="Q25">
        <v>0</v>
      </c>
      <c r="R25">
        <v>8</v>
      </c>
      <c r="S25" t="s">
        <v>168</v>
      </c>
      <c r="T25" t="s">
        <v>79</v>
      </c>
      <c r="U25" t="s">
        <v>41</v>
      </c>
      <c r="V25" t="s">
        <v>91</v>
      </c>
      <c r="W25" t="s">
        <v>69</v>
      </c>
      <c r="X25" t="s">
        <v>60</v>
      </c>
      <c r="Y25" t="s">
        <v>45</v>
      </c>
      <c r="Z25">
        <v>20</v>
      </c>
      <c r="AA25">
        <v>6</v>
      </c>
      <c r="AB25" t="s">
        <v>46</v>
      </c>
      <c r="AC25" t="s">
        <v>47</v>
      </c>
      <c r="AD25" t="s">
        <v>169</v>
      </c>
      <c r="AE25" t="s">
        <v>170</v>
      </c>
    </row>
    <row r="26" spans="1:31" x14ac:dyDescent="0.2">
      <c r="A26" t="s">
        <v>31</v>
      </c>
      <c r="B26" t="s">
        <v>32</v>
      </c>
      <c r="C26">
        <v>25</v>
      </c>
      <c r="D26" s="1">
        <v>39573</v>
      </c>
      <c r="E26" t="s">
        <v>33</v>
      </c>
      <c r="F26" t="s">
        <v>34</v>
      </c>
      <c r="G26" t="s">
        <v>35</v>
      </c>
      <c r="H26" t="s">
        <v>52</v>
      </c>
      <c r="I26" t="s">
        <v>52</v>
      </c>
      <c r="J26" t="s">
        <v>37</v>
      </c>
      <c r="K26">
        <v>126</v>
      </c>
      <c r="L26">
        <v>10</v>
      </c>
      <c r="M26">
        <v>127</v>
      </c>
      <c r="N26">
        <v>4</v>
      </c>
      <c r="O26" t="s">
        <v>52</v>
      </c>
      <c r="P26" t="s">
        <v>38</v>
      </c>
      <c r="Q26">
        <v>0</v>
      </c>
      <c r="R26">
        <v>6</v>
      </c>
      <c r="S26" t="s">
        <v>171</v>
      </c>
      <c r="T26" t="s">
        <v>145</v>
      </c>
      <c r="U26" t="s">
        <v>89</v>
      </c>
      <c r="V26" t="s">
        <v>137</v>
      </c>
      <c r="W26" t="s">
        <v>58</v>
      </c>
      <c r="X26" t="s">
        <v>124</v>
      </c>
      <c r="Y26" t="s">
        <v>45</v>
      </c>
      <c r="Z26">
        <v>20</v>
      </c>
      <c r="AA26">
        <v>6</v>
      </c>
      <c r="AB26" t="s">
        <v>46</v>
      </c>
      <c r="AC26" t="s">
        <v>47</v>
      </c>
      <c r="AD26" t="s">
        <v>172</v>
      </c>
      <c r="AE26" t="s">
        <v>173</v>
      </c>
    </row>
    <row r="27" spans="1:31" x14ac:dyDescent="0.2">
      <c r="A27" t="s">
        <v>31</v>
      </c>
      <c r="B27" t="s">
        <v>32</v>
      </c>
      <c r="C27">
        <v>26</v>
      </c>
      <c r="D27" s="1">
        <v>39574</v>
      </c>
      <c r="E27" t="s">
        <v>108</v>
      </c>
      <c r="F27" t="s">
        <v>109</v>
      </c>
      <c r="G27" t="s">
        <v>53</v>
      </c>
      <c r="H27" t="s">
        <v>77</v>
      </c>
      <c r="I27" t="s">
        <v>77</v>
      </c>
      <c r="J27" t="s">
        <v>37</v>
      </c>
      <c r="K27">
        <v>144</v>
      </c>
      <c r="L27">
        <v>7</v>
      </c>
      <c r="M27">
        <v>148</v>
      </c>
      <c r="N27">
        <v>3</v>
      </c>
      <c r="O27" t="s">
        <v>77</v>
      </c>
      <c r="P27" t="s">
        <v>38</v>
      </c>
      <c r="Q27">
        <v>0</v>
      </c>
      <c r="R27">
        <v>7</v>
      </c>
      <c r="S27" t="s">
        <v>132</v>
      </c>
      <c r="T27" t="s">
        <v>40</v>
      </c>
      <c r="U27" t="s">
        <v>57</v>
      </c>
      <c r="V27" t="s">
        <v>59</v>
      </c>
      <c r="W27" t="s">
        <v>111</v>
      </c>
      <c r="X27" t="s">
        <v>174</v>
      </c>
      <c r="Y27" t="s">
        <v>45</v>
      </c>
      <c r="Z27">
        <v>20</v>
      </c>
      <c r="AA27">
        <v>6</v>
      </c>
      <c r="AB27" t="s">
        <v>46</v>
      </c>
      <c r="AC27" t="s">
        <v>47</v>
      </c>
      <c r="AD27" t="s">
        <v>175</v>
      </c>
      <c r="AE27" t="s">
        <v>176</v>
      </c>
    </row>
    <row r="28" spans="1:31" x14ac:dyDescent="0.2">
      <c r="A28" t="s">
        <v>31</v>
      </c>
      <c r="B28" t="s">
        <v>32</v>
      </c>
      <c r="C28">
        <v>27</v>
      </c>
      <c r="D28" s="1">
        <v>39575</v>
      </c>
      <c r="E28" t="s">
        <v>85</v>
      </c>
      <c r="F28" t="s">
        <v>131</v>
      </c>
      <c r="G28" t="s">
        <v>87</v>
      </c>
      <c r="H28" t="s">
        <v>66</v>
      </c>
      <c r="I28" t="s">
        <v>87</v>
      </c>
      <c r="J28" t="s">
        <v>37</v>
      </c>
      <c r="K28">
        <v>104</v>
      </c>
      <c r="L28">
        <v>3</v>
      </c>
      <c r="M28">
        <v>103</v>
      </c>
      <c r="N28">
        <v>10</v>
      </c>
      <c r="O28" t="s">
        <v>87</v>
      </c>
      <c r="P28" t="s">
        <v>38</v>
      </c>
      <c r="Q28">
        <v>0</v>
      </c>
      <c r="R28">
        <v>7</v>
      </c>
      <c r="S28" t="s">
        <v>177</v>
      </c>
      <c r="T28" t="s">
        <v>104</v>
      </c>
      <c r="U28" t="s">
        <v>90</v>
      </c>
      <c r="V28" t="s">
        <v>42</v>
      </c>
      <c r="W28" t="s">
        <v>80</v>
      </c>
      <c r="X28" t="s">
        <v>165</v>
      </c>
      <c r="Y28" t="s">
        <v>45</v>
      </c>
      <c r="Z28">
        <v>20</v>
      </c>
      <c r="AA28">
        <v>6</v>
      </c>
      <c r="AB28" t="s">
        <v>46</v>
      </c>
      <c r="AC28" t="s">
        <v>47</v>
      </c>
      <c r="AD28" t="s">
        <v>178</v>
      </c>
      <c r="AE28" t="s">
        <v>179</v>
      </c>
    </row>
    <row r="29" spans="1:31" x14ac:dyDescent="0.2">
      <c r="A29" t="s">
        <v>31</v>
      </c>
      <c r="B29" t="s">
        <v>32</v>
      </c>
      <c r="C29">
        <v>28</v>
      </c>
      <c r="D29" s="1">
        <v>39576</v>
      </c>
      <c r="E29" t="s">
        <v>63</v>
      </c>
      <c r="F29" t="s">
        <v>64</v>
      </c>
      <c r="G29" t="s">
        <v>65</v>
      </c>
      <c r="H29" t="s">
        <v>53</v>
      </c>
      <c r="I29" t="s">
        <v>53</v>
      </c>
      <c r="J29" t="s">
        <v>37</v>
      </c>
      <c r="K29">
        <v>187</v>
      </c>
      <c r="L29">
        <v>5</v>
      </c>
      <c r="M29">
        <v>188</v>
      </c>
      <c r="N29">
        <v>6</v>
      </c>
      <c r="O29" t="s">
        <v>53</v>
      </c>
      <c r="P29" t="s">
        <v>38</v>
      </c>
      <c r="Q29">
        <v>0</v>
      </c>
      <c r="R29">
        <v>4</v>
      </c>
      <c r="S29" t="s">
        <v>136</v>
      </c>
      <c r="T29" t="s">
        <v>145</v>
      </c>
      <c r="U29" t="s">
        <v>69</v>
      </c>
      <c r="V29" t="s">
        <v>59</v>
      </c>
      <c r="W29" t="s">
        <v>81</v>
      </c>
      <c r="X29" t="s">
        <v>72</v>
      </c>
      <c r="Y29" t="s">
        <v>45</v>
      </c>
      <c r="Z29">
        <v>20</v>
      </c>
      <c r="AA29">
        <v>6</v>
      </c>
      <c r="AB29" t="s">
        <v>46</v>
      </c>
      <c r="AC29" t="s">
        <v>47</v>
      </c>
      <c r="AD29" t="s">
        <v>180</v>
      </c>
      <c r="AE29" t="s">
        <v>181</v>
      </c>
    </row>
    <row r="30" spans="1:31" x14ac:dyDescent="0.2">
      <c r="A30" t="s">
        <v>31</v>
      </c>
      <c r="B30" t="s">
        <v>32</v>
      </c>
      <c r="C30">
        <v>29</v>
      </c>
      <c r="D30" s="1">
        <v>39576</v>
      </c>
      <c r="E30" t="s">
        <v>75</v>
      </c>
      <c r="F30" t="s">
        <v>76</v>
      </c>
      <c r="G30" t="s">
        <v>36</v>
      </c>
      <c r="H30" t="s">
        <v>35</v>
      </c>
      <c r="I30" t="s">
        <v>36</v>
      </c>
      <c r="J30" t="s">
        <v>54</v>
      </c>
      <c r="K30">
        <v>129</v>
      </c>
      <c r="L30">
        <v>7</v>
      </c>
      <c r="M30">
        <v>124</v>
      </c>
      <c r="N30">
        <v>4</v>
      </c>
      <c r="O30" t="s">
        <v>36</v>
      </c>
      <c r="P30" t="s">
        <v>38</v>
      </c>
      <c r="Q30">
        <v>5</v>
      </c>
      <c r="R30">
        <v>0</v>
      </c>
      <c r="S30" t="s">
        <v>182</v>
      </c>
      <c r="T30" t="s">
        <v>79</v>
      </c>
      <c r="U30" t="s">
        <v>41</v>
      </c>
      <c r="V30" t="s">
        <v>71</v>
      </c>
      <c r="W30" t="s">
        <v>137</v>
      </c>
      <c r="X30" t="s">
        <v>72</v>
      </c>
      <c r="Y30" t="s">
        <v>45</v>
      </c>
      <c r="Z30">
        <v>20</v>
      </c>
      <c r="AA30">
        <v>6</v>
      </c>
      <c r="AB30" t="s">
        <v>46</v>
      </c>
      <c r="AC30" t="s">
        <v>47</v>
      </c>
      <c r="AD30" t="s">
        <v>183</v>
      </c>
      <c r="AE30" t="s">
        <v>184</v>
      </c>
    </row>
    <row r="31" spans="1:31" x14ac:dyDescent="0.2">
      <c r="A31" t="s">
        <v>31</v>
      </c>
      <c r="B31" t="s">
        <v>32</v>
      </c>
      <c r="C31">
        <v>30</v>
      </c>
      <c r="D31" s="1">
        <v>39577</v>
      </c>
      <c r="E31" t="s">
        <v>95</v>
      </c>
      <c r="F31" t="s">
        <v>96</v>
      </c>
      <c r="G31" t="s">
        <v>66</v>
      </c>
      <c r="H31" t="s">
        <v>77</v>
      </c>
      <c r="I31" t="s">
        <v>66</v>
      </c>
      <c r="J31" t="s">
        <v>37</v>
      </c>
      <c r="K31">
        <v>141</v>
      </c>
      <c r="L31">
        <v>2</v>
      </c>
      <c r="M31">
        <v>140</v>
      </c>
      <c r="N31">
        <v>8</v>
      </c>
      <c r="O31" t="s">
        <v>66</v>
      </c>
      <c r="P31" t="s">
        <v>38</v>
      </c>
      <c r="Q31">
        <v>0</v>
      </c>
      <c r="R31">
        <v>8</v>
      </c>
      <c r="S31" t="s">
        <v>114</v>
      </c>
      <c r="T31" t="s">
        <v>56</v>
      </c>
      <c r="U31" t="s">
        <v>57</v>
      </c>
      <c r="V31" t="s">
        <v>43</v>
      </c>
      <c r="W31" t="s">
        <v>89</v>
      </c>
      <c r="X31" t="s">
        <v>72</v>
      </c>
      <c r="Y31" t="s">
        <v>45</v>
      </c>
      <c r="Z31">
        <v>20</v>
      </c>
      <c r="AA31">
        <v>6</v>
      </c>
      <c r="AB31" t="s">
        <v>46</v>
      </c>
      <c r="AC31" t="s">
        <v>47</v>
      </c>
      <c r="AD31" t="s">
        <v>185</v>
      </c>
      <c r="AE31" t="s">
        <v>186</v>
      </c>
    </row>
    <row r="32" spans="1:31" x14ac:dyDescent="0.2">
      <c r="A32" t="s">
        <v>31</v>
      </c>
      <c r="B32" t="s">
        <v>32</v>
      </c>
      <c r="C32">
        <v>31</v>
      </c>
      <c r="D32" s="1">
        <v>39578</v>
      </c>
      <c r="E32" t="s">
        <v>108</v>
      </c>
      <c r="F32" t="s">
        <v>109</v>
      </c>
      <c r="G32" t="s">
        <v>53</v>
      </c>
      <c r="H32" t="s">
        <v>52</v>
      </c>
      <c r="I32" t="s">
        <v>52</v>
      </c>
      <c r="J32" t="s">
        <v>37</v>
      </c>
      <c r="K32">
        <v>181</v>
      </c>
      <c r="L32">
        <v>4</v>
      </c>
      <c r="M32">
        <v>163</v>
      </c>
      <c r="N32">
        <v>9</v>
      </c>
      <c r="O32" t="s">
        <v>53</v>
      </c>
      <c r="P32" t="s">
        <v>38</v>
      </c>
      <c r="Q32">
        <v>18</v>
      </c>
      <c r="R32">
        <v>0</v>
      </c>
      <c r="S32" t="s">
        <v>187</v>
      </c>
      <c r="T32" t="s">
        <v>40</v>
      </c>
      <c r="U32" t="s">
        <v>91</v>
      </c>
      <c r="V32" t="s">
        <v>188</v>
      </c>
      <c r="W32" t="s">
        <v>98</v>
      </c>
      <c r="X32" t="s">
        <v>111</v>
      </c>
      <c r="Y32" t="s">
        <v>45</v>
      </c>
      <c r="Z32">
        <v>20</v>
      </c>
      <c r="AA32">
        <v>6</v>
      </c>
      <c r="AB32" t="s">
        <v>46</v>
      </c>
      <c r="AC32" t="s">
        <v>47</v>
      </c>
      <c r="AD32" t="s">
        <v>189</v>
      </c>
      <c r="AE32" t="s">
        <v>190</v>
      </c>
    </row>
    <row r="33" spans="1:31" x14ac:dyDescent="0.2">
      <c r="A33" t="s">
        <v>31</v>
      </c>
      <c r="B33" t="s">
        <v>32</v>
      </c>
      <c r="C33">
        <v>32</v>
      </c>
      <c r="D33" s="1">
        <v>39579</v>
      </c>
      <c r="E33" t="s">
        <v>101</v>
      </c>
      <c r="F33" t="s">
        <v>102</v>
      </c>
      <c r="G33" t="s">
        <v>77</v>
      </c>
      <c r="H33" t="s">
        <v>36</v>
      </c>
      <c r="I33" t="s">
        <v>36</v>
      </c>
      <c r="J33" t="s">
        <v>54</v>
      </c>
      <c r="K33">
        <v>181</v>
      </c>
      <c r="L33">
        <v>7</v>
      </c>
      <c r="M33">
        <v>204</v>
      </c>
      <c r="N33">
        <v>4</v>
      </c>
      <c r="O33" t="s">
        <v>36</v>
      </c>
      <c r="P33" t="s">
        <v>38</v>
      </c>
      <c r="Q33">
        <v>23</v>
      </c>
      <c r="R33">
        <v>0</v>
      </c>
      <c r="S33" t="s">
        <v>182</v>
      </c>
      <c r="T33" t="s">
        <v>104</v>
      </c>
      <c r="U33" t="s">
        <v>71</v>
      </c>
      <c r="V33" t="s">
        <v>43</v>
      </c>
      <c r="W33" t="s">
        <v>80</v>
      </c>
      <c r="X33" t="s">
        <v>72</v>
      </c>
      <c r="Y33" t="s">
        <v>45</v>
      </c>
      <c r="Z33">
        <v>20</v>
      </c>
      <c r="AA33">
        <v>6</v>
      </c>
      <c r="AB33" t="s">
        <v>46</v>
      </c>
      <c r="AC33" t="s">
        <v>47</v>
      </c>
      <c r="AD33" t="s">
        <v>191</v>
      </c>
      <c r="AE33" t="s">
        <v>192</v>
      </c>
    </row>
    <row r="34" spans="1:31" x14ac:dyDescent="0.2">
      <c r="A34" t="s">
        <v>31</v>
      </c>
      <c r="B34" t="s">
        <v>32</v>
      </c>
      <c r="C34">
        <v>33</v>
      </c>
      <c r="D34" s="1">
        <v>39579</v>
      </c>
      <c r="E34" t="s">
        <v>95</v>
      </c>
      <c r="F34" t="s">
        <v>96</v>
      </c>
      <c r="G34" t="s">
        <v>66</v>
      </c>
      <c r="H34" t="s">
        <v>65</v>
      </c>
      <c r="I34" t="s">
        <v>66</v>
      </c>
      <c r="J34" t="s">
        <v>37</v>
      </c>
      <c r="K34">
        <v>159</v>
      </c>
      <c r="L34">
        <v>7</v>
      </c>
      <c r="M34">
        <v>156</v>
      </c>
      <c r="N34">
        <v>7</v>
      </c>
      <c r="O34" t="s">
        <v>66</v>
      </c>
      <c r="P34" t="s">
        <v>38</v>
      </c>
      <c r="Q34">
        <v>0</v>
      </c>
      <c r="R34">
        <v>3</v>
      </c>
      <c r="S34" t="s">
        <v>97</v>
      </c>
      <c r="T34" t="s">
        <v>79</v>
      </c>
      <c r="U34" t="s">
        <v>89</v>
      </c>
      <c r="V34" t="s">
        <v>42</v>
      </c>
      <c r="W34" t="s">
        <v>60</v>
      </c>
      <c r="X34" t="s">
        <v>72</v>
      </c>
      <c r="Y34" t="s">
        <v>45</v>
      </c>
      <c r="Z34">
        <v>20</v>
      </c>
      <c r="AA34">
        <v>6</v>
      </c>
      <c r="AB34" t="s">
        <v>46</v>
      </c>
      <c r="AC34" t="s">
        <v>47</v>
      </c>
      <c r="AD34" t="s">
        <v>193</v>
      </c>
      <c r="AE34" t="s">
        <v>194</v>
      </c>
    </row>
    <row r="35" spans="1:31" x14ac:dyDescent="0.2">
      <c r="A35" t="s">
        <v>31</v>
      </c>
      <c r="B35" t="s">
        <v>32</v>
      </c>
      <c r="C35">
        <v>34</v>
      </c>
      <c r="D35" s="1">
        <v>39580</v>
      </c>
      <c r="E35" t="s">
        <v>50</v>
      </c>
      <c r="F35" t="s">
        <v>51</v>
      </c>
      <c r="G35" t="s">
        <v>52</v>
      </c>
      <c r="H35" t="s">
        <v>35</v>
      </c>
      <c r="I35" t="s">
        <v>35</v>
      </c>
      <c r="J35" t="s">
        <v>54</v>
      </c>
      <c r="K35">
        <v>144</v>
      </c>
      <c r="L35">
        <v>1</v>
      </c>
      <c r="M35">
        <v>143</v>
      </c>
      <c r="N35">
        <v>8</v>
      </c>
      <c r="O35" t="s">
        <v>52</v>
      </c>
      <c r="P35" t="s">
        <v>38</v>
      </c>
      <c r="Q35">
        <v>0</v>
      </c>
      <c r="R35">
        <v>9</v>
      </c>
      <c r="S35" t="s">
        <v>152</v>
      </c>
      <c r="T35" t="s">
        <v>145</v>
      </c>
      <c r="U35" t="s">
        <v>137</v>
      </c>
      <c r="V35" t="s">
        <v>98</v>
      </c>
      <c r="W35" t="s">
        <v>195</v>
      </c>
      <c r="X35" t="s">
        <v>118</v>
      </c>
      <c r="Y35" t="s">
        <v>45</v>
      </c>
      <c r="Z35">
        <v>20</v>
      </c>
      <c r="AA35">
        <v>6</v>
      </c>
      <c r="AB35" t="s">
        <v>46</v>
      </c>
      <c r="AC35" t="s">
        <v>47</v>
      </c>
      <c r="AD35" t="s">
        <v>196</v>
      </c>
      <c r="AE35" t="s">
        <v>197</v>
      </c>
    </row>
    <row r="36" spans="1:31" x14ac:dyDescent="0.2">
      <c r="A36" t="s">
        <v>31</v>
      </c>
      <c r="B36" t="s">
        <v>32</v>
      </c>
      <c r="C36">
        <v>35</v>
      </c>
      <c r="D36" s="1">
        <v>39581</v>
      </c>
      <c r="E36" t="s">
        <v>75</v>
      </c>
      <c r="F36" t="s">
        <v>76</v>
      </c>
      <c r="G36" t="s">
        <v>36</v>
      </c>
      <c r="H36" t="s">
        <v>65</v>
      </c>
      <c r="I36" t="s">
        <v>36</v>
      </c>
      <c r="J36" t="s">
        <v>54</v>
      </c>
      <c r="K36">
        <v>133</v>
      </c>
      <c r="L36">
        <v>6</v>
      </c>
      <c r="M36">
        <v>110</v>
      </c>
      <c r="N36">
        <v>10</v>
      </c>
      <c r="O36" t="s">
        <v>36</v>
      </c>
      <c r="P36" t="s">
        <v>38</v>
      </c>
      <c r="Q36">
        <v>23</v>
      </c>
      <c r="R36">
        <v>0</v>
      </c>
      <c r="S36" t="s">
        <v>198</v>
      </c>
      <c r="T36" t="s">
        <v>104</v>
      </c>
      <c r="U36" t="s">
        <v>41</v>
      </c>
      <c r="V36" t="s">
        <v>71</v>
      </c>
      <c r="W36" t="s">
        <v>91</v>
      </c>
      <c r="X36" t="s">
        <v>72</v>
      </c>
      <c r="Y36" t="s">
        <v>45</v>
      </c>
      <c r="Z36">
        <v>20</v>
      </c>
      <c r="AA36">
        <v>6</v>
      </c>
      <c r="AB36" t="s">
        <v>46</v>
      </c>
      <c r="AC36" t="s">
        <v>47</v>
      </c>
      <c r="AD36" t="s">
        <v>199</v>
      </c>
      <c r="AE36" t="s">
        <v>200</v>
      </c>
    </row>
    <row r="37" spans="1:31" x14ac:dyDescent="0.2">
      <c r="A37" t="s">
        <v>31</v>
      </c>
      <c r="B37" t="s">
        <v>32</v>
      </c>
      <c r="C37">
        <v>36</v>
      </c>
      <c r="D37" s="1">
        <v>39582</v>
      </c>
      <c r="E37" t="s">
        <v>85</v>
      </c>
      <c r="F37" t="s">
        <v>86</v>
      </c>
      <c r="G37" t="s">
        <v>87</v>
      </c>
      <c r="H37" t="s">
        <v>53</v>
      </c>
      <c r="I37" t="s">
        <v>87</v>
      </c>
      <c r="J37" t="s">
        <v>37</v>
      </c>
      <c r="K37">
        <v>158</v>
      </c>
      <c r="L37">
        <v>1</v>
      </c>
      <c r="M37">
        <v>156</v>
      </c>
      <c r="N37">
        <v>6</v>
      </c>
      <c r="O37" t="s">
        <v>87</v>
      </c>
      <c r="P37" t="s">
        <v>38</v>
      </c>
      <c r="Q37">
        <v>0</v>
      </c>
      <c r="R37">
        <v>9</v>
      </c>
      <c r="S37" t="s">
        <v>140</v>
      </c>
      <c r="T37" t="s">
        <v>40</v>
      </c>
      <c r="U37" t="s">
        <v>137</v>
      </c>
      <c r="V37" t="s">
        <v>43</v>
      </c>
      <c r="W37" t="s">
        <v>42</v>
      </c>
      <c r="X37" t="s">
        <v>201</v>
      </c>
      <c r="Y37" t="s">
        <v>45</v>
      </c>
      <c r="Z37">
        <v>20</v>
      </c>
      <c r="AA37">
        <v>6</v>
      </c>
      <c r="AB37" t="s">
        <v>46</v>
      </c>
      <c r="AC37" t="s">
        <v>47</v>
      </c>
      <c r="AD37" t="s">
        <v>202</v>
      </c>
      <c r="AE37" t="s">
        <v>203</v>
      </c>
    </row>
    <row r="38" spans="1:31" x14ac:dyDescent="0.2">
      <c r="A38" t="s">
        <v>31</v>
      </c>
      <c r="B38" t="s">
        <v>32</v>
      </c>
      <c r="C38">
        <v>37</v>
      </c>
      <c r="D38" s="1">
        <v>39583</v>
      </c>
      <c r="E38" t="s">
        <v>63</v>
      </c>
      <c r="F38" t="s">
        <v>64</v>
      </c>
      <c r="G38" t="s">
        <v>65</v>
      </c>
      <c r="H38" t="s">
        <v>77</v>
      </c>
      <c r="I38" t="s">
        <v>77</v>
      </c>
      <c r="J38" t="s">
        <v>37</v>
      </c>
      <c r="K38">
        <v>194</v>
      </c>
      <c r="L38">
        <v>4</v>
      </c>
      <c r="M38">
        <v>182</v>
      </c>
      <c r="N38">
        <v>9</v>
      </c>
      <c r="O38" t="s">
        <v>65</v>
      </c>
      <c r="P38" t="s">
        <v>38</v>
      </c>
      <c r="Q38">
        <v>12</v>
      </c>
      <c r="R38">
        <v>0</v>
      </c>
      <c r="S38" t="s">
        <v>204</v>
      </c>
      <c r="T38" t="s">
        <v>145</v>
      </c>
      <c r="U38" t="s">
        <v>188</v>
      </c>
      <c r="V38" t="s">
        <v>70</v>
      </c>
      <c r="W38" t="s">
        <v>41</v>
      </c>
      <c r="X38" t="s">
        <v>72</v>
      </c>
      <c r="Y38" t="s">
        <v>45</v>
      </c>
      <c r="Z38">
        <v>20</v>
      </c>
      <c r="AA38">
        <v>6</v>
      </c>
      <c r="AB38" t="s">
        <v>46</v>
      </c>
      <c r="AC38" t="s">
        <v>47</v>
      </c>
      <c r="AD38" t="s">
        <v>205</v>
      </c>
      <c r="AE38" t="s">
        <v>206</v>
      </c>
    </row>
    <row r="39" spans="1:31" x14ac:dyDescent="0.2">
      <c r="A39" t="s">
        <v>31</v>
      </c>
      <c r="B39" t="s">
        <v>32</v>
      </c>
      <c r="C39">
        <v>38</v>
      </c>
      <c r="D39" s="1">
        <v>39584</v>
      </c>
      <c r="E39" t="s">
        <v>85</v>
      </c>
      <c r="F39" t="s">
        <v>86</v>
      </c>
      <c r="G39" t="s">
        <v>87</v>
      </c>
      <c r="H39" t="s">
        <v>36</v>
      </c>
      <c r="I39" t="s">
        <v>87</v>
      </c>
      <c r="J39" t="s">
        <v>37</v>
      </c>
      <c r="K39">
        <v>68</v>
      </c>
      <c r="L39">
        <v>2</v>
      </c>
      <c r="M39">
        <v>67</v>
      </c>
      <c r="N39">
        <v>10</v>
      </c>
      <c r="O39" t="s">
        <v>87</v>
      </c>
      <c r="P39" t="s">
        <v>38</v>
      </c>
      <c r="Q39">
        <v>0</v>
      </c>
      <c r="R39">
        <v>8</v>
      </c>
      <c r="S39" t="s">
        <v>164</v>
      </c>
      <c r="T39" t="s">
        <v>79</v>
      </c>
      <c r="U39" t="s">
        <v>137</v>
      </c>
      <c r="V39" t="s">
        <v>90</v>
      </c>
      <c r="W39" t="s">
        <v>98</v>
      </c>
      <c r="X39" t="s">
        <v>92</v>
      </c>
      <c r="Y39" t="s">
        <v>45</v>
      </c>
      <c r="Z39">
        <v>20</v>
      </c>
      <c r="AA39">
        <v>6</v>
      </c>
      <c r="AB39" t="s">
        <v>46</v>
      </c>
      <c r="AC39" t="s">
        <v>47</v>
      </c>
      <c r="AD39" t="s">
        <v>207</v>
      </c>
      <c r="AE39" t="s">
        <v>208</v>
      </c>
    </row>
    <row r="40" spans="1:31" x14ac:dyDescent="0.2">
      <c r="A40" t="s">
        <v>31</v>
      </c>
      <c r="B40" t="s">
        <v>32</v>
      </c>
      <c r="C40">
        <v>39</v>
      </c>
      <c r="D40" s="1">
        <v>39585</v>
      </c>
      <c r="E40" t="s">
        <v>95</v>
      </c>
      <c r="F40" t="s">
        <v>96</v>
      </c>
      <c r="G40" t="s">
        <v>66</v>
      </c>
      <c r="H40" t="s">
        <v>35</v>
      </c>
      <c r="I40" t="s">
        <v>35</v>
      </c>
      <c r="J40" t="s">
        <v>37</v>
      </c>
      <c r="K40">
        <v>197</v>
      </c>
      <c r="L40">
        <v>1</v>
      </c>
      <c r="M40">
        <v>132</v>
      </c>
      <c r="N40">
        <v>9</v>
      </c>
      <c r="O40" t="s">
        <v>66</v>
      </c>
      <c r="P40" t="s">
        <v>38</v>
      </c>
      <c r="Q40">
        <v>65</v>
      </c>
      <c r="R40">
        <v>0</v>
      </c>
      <c r="S40" t="s">
        <v>209</v>
      </c>
      <c r="T40" t="s">
        <v>104</v>
      </c>
      <c r="U40" t="s">
        <v>80</v>
      </c>
      <c r="V40" t="s">
        <v>58</v>
      </c>
      <c r="W40" t="s">
        <v>89</v>
      </c>
      <c r="X40" t="s">
        <v>60</v>
      </c>
      <c r="Y40" t="s">
        <v>45</v>
      </c>
      <c r="Z40">
        <v>20</v>
      </c>
      <c r="AA40">
        <v>6</v>
      </c>
      <c r="AB40" t="s">
        <v>46</v>
      </c>
      <c r="AC40" t="s">
        <v>47</v>
      </c>
      <c r="AD40" t="s">
        <v>210</v>
      </c>
      <c r="AE40" t="s">
        <v>211</v>
      </c>
    </row>
    <row r="41" spans="1:31" x14ac:dyDescent="0.2">
      <c r="A41" t="s">
        <v>31</v>
      </c>
      <c r="B41" t="s">
        <v>32</v>
      </c>
      <c r="C41">
        <v>40</v>
      </c>
      <c r="D41" s="1">
        <v>39585</v>
      </c>
      <c r="E41" t="s">
        <v>63</v>
      </c>
      <c r="F41" t="s">
        <v>64</v>
      </c>
      <c r="G41" t="s">
        <v>65</v>
      </c>
      <c r="H41" t="s">
        <v>52</v>
      </c>
      <c r="I41" t="s">
        <v>65</v>
      </c>
      <c r="J41" t="s">
        <v>54</v>
      </c>
      <c r="K41">
        <v>118</v>
      </c>
      <c r="L41">
        <v>4</v>
      </c>
      <c r="M41">
        <v>94</v>
      </c>
      <c r="N41">
        <v>3</v>
      </c>
      <c r="O41" t="s">
        <v>52</v>
      </c>
      <c r="P41" t="s">
        <v>38</v>
      </c>
      <c r="Q41">
        <v>6</v>
      </c>
      <c r="R41">
        <v>0</v>
      </c>
      <c r="S41" t="s">
        <v>212</v>
      </c>
      <c r="T41" t="s">
        <v>145</v>
      </c>
      <c r="U41" t="s">
        <v>91</v>
      </c>
      <c r="V41" t="s">
        <v>42</v>
      </c>
      <c r="W41" t="s">
        <v>188</v>
      </c>
      <c r="X41" t="s">
        <v>146</v>
      </c>
      <c r="Y41" t="s">
        <v>45</v>
      </c>
      <c r="Z41">
        <v>20</v>
      </c>
      <c r="AA41">
        <v>6</v>
      </c>
      <c r="AB41" t="s">
        <v>46</v>
      </c>
      <c r="AC41" t="s">
        <v>47</v>
      </c>
      <c r="AD41" t="s">
        <v>213</v>
      </c>
      <c r="AE41" t="s">
        <v>214</v>
      </c>
    </row>
    <row r="42" spans="1:31" x14ac:dyDescent="0.2">
      <c r="A42" t="s">
        <v>31</v>
      </c>
      <c r="B42" t="s">
        <v>32</v>
      </c>
      <c r="C42">
        <v>41</v>
      </c>
      <c r="D42" s="1">
        <v>39586</v>
      </c>
      <c r="E42" t="s">
        <v>75</v>
      </c>
      <c r="F42" t="s">
        <v>76</v>
      </c>
      <c r="G42" t="s">
        <v>36</v>
      </c>
      <c r="H42" t="s">
        <v>53</v>
      </c>
      <c r="I42" t="s">
        <v>36</v>
      </c>
      <c r="J42" t="s">
        <v>54</v>
      </c>
      <c r="K42">
        <v>149</v>
      </c>
      <c r="L42">
        <v>5</v>
      </c>
      <c r="M42">
        <v>55</v>
      </c>
      <c r="N42">
        <v>0</v>
      </c>
      <c r="O42" t="s">
        <v>53</v>
      </c>
      <c r="P42" t="s">
        <v>38</v>
      </c>
      <c r="Q42">
        <v>3</v>
      </c>
      <c r="R42">
        <v>0</v>
      </c>
      <c r="S42" t="s">
        <v>215</v>
      </c>
      <c r="T42" t="s">
        <v>79</v>
      </c>
      <c r="U42" t="s">
        <v>41</v>
      </c>
      <c r="V42" t="s">
        <v>81</v>
      </c>
      <c r="W42" t="s">
        <v>43</v>
      </c>
      <c r="X42" t="s">
        <v>216</v>
      </c>
      <c r="Y42" t="s">
        <v>45</v>
      </c>
      <c r="Z42">
        <v>20</v>
      </c>
      <c r="AA42">
        <v>6</v>
      </c>
      <c r="AB42" t="s">
        <v>46</v>
      </c>
      <c r="AC42" t="s">
        <v>47</v>
      </c>
      <c r="AD42" t="s">
        <v>217</v>
      </c>
      <c r="AE42" t="s">
        <v>218</v>
      </c>
    </row>
    <row r="43" spans="1:31" x14ac:dyDescent="0.2">
      <c r="A43" t="s">
        <v>31</v>
      </c>
      <c r="B43" t="s">
        <v>32</v>
      </c>
      <c r="C43">
        <v>42</v>
      </c>
      <c r="D43" s="1">
        <v>39586</v>
      </c>
      <c r="E43" t="s">
        <v>101</v>
      </c>
      <c r="F43" t="s">
        <v>102</v>
      </c>
      <c r="G43" t="s">
        <v>77</v>
      </c>
      <c r="H43" t="s">
        <v>87</v>
      </c>
      <c r="I43" t="s">
        <v>77</v>
      </c>
      <c r="J43" t="s">
        <v>37</v>
      </c>
      <c r="K43">
        <v>153</v>
      </c>
      <c r="L43">
        <v>7</v>
      </c>
      <c r="M43">
        <v>178</v>
      </c>
      <c r="N43">
        <v>7</v>
      </c>
      <c r="O43" t="s">
        <v>87</v>
      </c>
      <c r="P43" t="s">
        <v>38</v>
      </c>
      <c r="Q43">
        <v>25</v>
      </c>
      <c r="R43">
        <v>0</v>
      </c>
      <c r="S43" t="s">
        <v>219</v>
      </c>
      <c r="T43" t="s">
        <v>56</v>
      </c>
      <c r="U43" t="s">
        <v>137</v>
      </c>
      <c r="V43" t="s">
        <v>90</v>
      </c>
      <c r="W43" t="s">
        <v>98</v>
      </c>
      <c r="X43" t="s">
        <v>105</v>
      </c>
      <c r="Y43" t="s">
        <v>45</v>
      </c>
      <c r="Z43">
        <v>20</v>
      </c>
      <c r="AA43">
        <v>6</v>
      </c>
      <c r="AB43" t="s">
        <v>46</v>
      </c>
      <c r="AC43" t="s">
        <v>47</v>
      </c>
      <c r="AD43" t="s">
        <v>220</v>
      </c>
      <c r="AE43" t="s">
        <v>221</v>
      </c>
    </row>
    <row r="44" spans="1:31" x14ac:dyDescent="0.2">
      <c r="A44" t="s">
        <v>31</v>
      </c>
      <c r="B44" t="s">
        <v>32</v>
      </c>
      <c r="C44">
        <v>43</v>
      </c>
      <c r="D44" s="1">
        <v>39587</v>
      </c>
      <c r="E44" t="s">
        <v>33</v>
      </c>
      <c r="F44" t="s">
        <v>34</v>
      </c>
      <c r="G44" t="s">
        <v>35</v>
      </c>
      <c r="H44" t="s">
        <v>65</v>
      </c>
      <c r="I44" t="s">
        <v>65</v>
      </c>
      <c r="J44" t="s">
        <v>37</v>
      </c>
      <c r="K44">
        <v>154</v>
      </c>
      <c r="L44">
        <v>7</v>
      </c>
      <c r="M44">
        <v>158</v>
      </c>
      <c r="N44">
        <v>5</v>
      </c>
      <c r="O44" t="s">
        <v>65</v>
      </c>
      <c r="P44" t="s">
        <v>38</v>
      </c>
      <c r="Q44">
        <v>0</v>
      </c>
      <c r="R44">
        <v>5</v>
      </c>
      <c r="S44" t="s">
        <v>222</v>
      </c>
      <c r="T44" t="s">
        <v>104</v>
      </c>
      <c r="U44" t="s">
        <v>89</v>
      </c>
      <c r="V44" t="s">
        <v>70</v>
      </c>
      <c r="W44" t="s">
        <v>58</v>
      </c>
      <c r="X44" t="s">
        <v>44</v>
      </c>
      <c r="Y44" t="s">
        <v>45</v>
      </c>
      <c r="Z44">
        <v>20</v>
      </c>
      <c r="AA44">
        <v>6</v>
      </c>
      <c r="AB44" t="s">
        <v>46</v>
      </c>
      <c r="AC44" t="s">
        <v>47</v>
      </c>
      <c r="AD44" t="s">
        <v>223</v>
      </c>
      <c r="AE44" t="s">
        <v>224</v>
      </c>
    </row>
    <row r="45" spans="1:31" x14ac:dyDescent="0.2">
      <c r="A45" t="s">
        <v>31</v>
      </c>
      <c r="B45" t="s">
        <v>32</v>
      </c>
      <c r="C45">
        <v>44</v>
      </c>
      <c r="D45" s="1">
        <v>39588</v>
      </c>
      <c r="E45" t="s">
        <v>75</v>
      </c>
      <c r="F45" t="s">
        <v>76</v>
      </c>
      <c r="G45" t="s">
        <v>36</v>
      </c>
      <c r="H45" t="s">
        <v>66</v>
      </c>
      <c r="I45" t="s">
        <v>66</v>
      </c>
      <c r="J45" t="s">
        <v>37</v>
      </c>
      <c r="K45">
        <v>147</v>
      </c>
      <c r="L45">
        <v>8</v>
      </c>
      <c r="M45">
        <v>150</v>
      </c>
      <c r="N45">
        <v>4</v>
      </c>
      <c r="O45" t="s">
        <v>66</v>
      </c>
      <c r="P45" t="s">
        <v>38</v>
      </c>
      <c r="Q45">
        <v>0</v>
      </c>
      <c r="R45">
        <v>6</v>
      </c>
      <c r="S45" t="s">
        <v>114</v>
      </c>
      <c r="T45" t="s">
        <v>79</v>
      </c>
      <c r="U45" t="s">
        <v>188</v>
      </c>
      <c r="V45" t="s">
        <v>42</v>
      </c>
      <c r="W45" t="s">
        <v>81</v>
      </c>
      <c r="X45" t="s">
        <v>225</v>
      </c>
      <c r="Y45" t="s">
        <v>45</v>
      </c>
      <c r="Z45">
        <v>20</v>
      </c>
      <c r="AA45">
        <v>6</v>
      </c>
      <c r="AB45" t="s">
        <v>46</v>
      </c>
      <c r="AC45" t="s">
        <v>47</v>
      </c>
      <c r="AD45" t="s">
        <v>226</v>
      </c>
      <c r="AE45" t="s">
        <v>227</v>
      </c>
    </row>
    <row r="46" spans="1:31" x14ac:dyDescent="0.2">
      <c r="A46" t="s">
        <v>31</v>
      </c>
      <c r="B46" t="s">
        <v>32</v>
      </c>
      <c r="C46">
        <v>45</v>
      </c>
      <c r="D46" s="1">
        <v>39589</v>
      </c>
      <c r="E46" t="s">
        <v>85</v>
      </c>
      <c r="F46" t="s">
        <v>86</v>
      </c>
      <c r="G46" t="s">
        <v>87</v>
      </c>
      <c r="H46" t="s">
        <v>52</v>
      </c>
      <c r="I46" t="s">
        <v>87</v>
      </c>
      <c r="J46" t="s">
        <v>37</v>
      </c>
      <c r="K46">
        <v>188</v>
      </c>
      <c r="L46">
        <v>10</v>
      </c>
      <c r="M46">
        <v>189</v>
      </c>
      <c r="N46">
        <v>4</v>
      </c>
      <c r="O46" t="s">
        <v>52</v>
      </c>
      <c r="P46" t="s">
        <v>38</v>
      </c>
      <c r="Q46">
        <v>1</v>
      </c>
      <c r="R46">
        <v>0</v>
      </c>
      <c r="S46" t="s">
        <v>152</v>
      </c>
      <c r="T46" t="s">
        <v>104</v>
      </c>
      <c r="U46" t="s">
        <v>80</v>
      </c>
      <c r="V46" t="s">
        <v>70</v>
      </c>
      <c r="W46" t="s">
        <v>58</v>
      </c>
      <c r="X46" t="s">
        <v>72</v>
      </c>
      <c r="Y46" t="s">
        <v>45</v>
      </c>
      <c r="Z46">
        <v>20</v>
      </c>
      <c r="AA46">
        <v>6</v>
      </c>
      <c r="AB46" t="s">
        <v>46</v>
      </c>
      <c r="AC46" t="s">
        <v>47</v>
      </c>
      <c r="AD46" t="s">
        <v>228</v>
      </c>
      <c r="AE46" t="s">
        <v>196</v>
      </c>
    </row>
    <row r="47" spans="1:31" x14ac:dyDescent="0.2">
      <c r="A47" t="s">
        <v>31</v>
      </c>
      <c r="B47" t="s">
        <v>32</v>
      </c>
      <c r="C47">
        <v>46</v>
      </c>
      <c r="D47" s="1">
        <v>39589</v>
      </c>
      <c r="E47" t="s">
        <v>108</v>
      </c>
      <c r="F47" t="s">
        <v>109</v>
      </c>
      <c r="G47" t="s">
        <v>53</v>
      </c>
      <c r="H47" t="s">
        <v>35</v>
      </c>
      <c r="I47" t="s">
        <v>35</v>
      </c>
      <c r="J47" t="s">
        <v>54</v>
      </c>
      <c r="K47">
        <v>112</v>
      </c>
      <c r="L47">
        <v>8</v>
      </c>
      <c r="M47">
        <v>126</v>
      </c>
      <c r="N47">
        <v>8</v>
      </c>
      <c r="O47" t="s">
        <v>35</v>
      </c>
      <c r="P47" t="s">
        <v>38</v>
      </c>
      <c r="Q47">
        <v>14</v>
      </c>
      <c r="R47">
        <v>0</v>
      </c>
      <c r="S47" t="s">
        <v>229</v>
      </c>
      <c r="T47" t="s">
        <v>40</v>
      </c>
      <c r="U47" t="s">
        <v>90</v>
      </c>
      <c r="V47" t="s">
        <v>98</v>
      </c>
      <c r="W47" t="s">
        <v>137</v>
      </c>
      <c r="X47" t="s">
        <v>111</v>
      </c>
      <c r="Y47" t="s">
        <v>45</v>
      </c>
      <c r="Z47">
        <v>20</v>
      </c>
      <c r="AA47">
        <v>6</v>
      </c>
      <c r="AB47" t="s">
        <v>46</v>
      </c>
      <c r="AC47" t="s">
        <v>47</v>
      </c>
      <c r="AD47" t="s">
        <v>230</v>
      </c>
      <c r="AE47" t="s">
        <v>231</v>
      </c>
    </row>
    <row r="48" spans="1:31" x14ac:dyDescent="0.2">
      <c r="A48" t="s">
        <v>31</v>
      </c>
      <c r="B48" t="s">
        <v>32</v>
      </c>
      <c r="C48">
        <v>48</v>
      </c>
      <c r="D48" s="1">
        <v>39591</v>
      </c>
      <c r="E48" t="s">
        <v>50</v>
      </c>
      <c r="F48" t="s">
        <v>51</v>
      </c>
      <c r="G48" t="s">
        <v>52</v>
      </c>
      <c r="H48" t="s">
        <v>77</v>
      </c>
      <c r="I48" t="s">
        <v>52</v>
      </c>
      <c r="J48" t="s">
        <v>37</v>
      </c>
      <c r="K48">
        <v>178</v>
      </c>
      <c r="L48">
        <v>4</v>
      </c>
      <c r="M48">
        <v>175</v>
      </c>
      <c r="N48">
        <v>4</v>
      </c>
      <c r="O48" t="s">
        <v>52</v>
      </c>
      <c r="P48" t="s">
        <v>38</v>
      </c>
      <c r="Q48">
        <v>0</v>
      </c>
      <c r="R48">
        <v>6</v>
      </c>
      <c r="S48" t="s">
        <v>152</v>
      </c>
      <c r="T48" t="s">
        <v>104</v>
      </c>
      <c r="U48" t="s">
        <v>41</v>
      </c>
      <c r="V48" t="s">
        <v>89</v>
      </c>
      <c r="W48" t="s">
        <v>43</v>
      </c>
      <c r="X48" t="s">
        <v>118</v>
      </c>
      <c r="Y48" t="s">
        <v>45</v>
      </c>
      <c r="Z48">
        <v>20</v>
      </c>
      <c r="AA48">
        <v>6</v>
      </c>
      <c r="AB48" t="s">
        <v>46</v>
      </c>
      <c r="AC48" t="s">
        <v>47</v>
      </c>
      <c r="AD48" t="s">
        <v>232</v>
      </c>
      <c r="AE48" t="s">
        <v>233</v>
      </c>
    </row>
    <row r="49" spans="1:31" x14ac:dyDescent="0.2">
      <c r="A49" t="s">
        <v>31</v>
      </c>
      <c r="B49" t="s">
        <v>32</v>
      </c>
      <c r="C49">
        <v>49</v>
      </c>
      <c r="D49" s="1">
        <v>39592</v>
      </c>
      <c r="E49" t="s">
        <v>108</v>
      </c>
      <c r="F49" t="s">
        <v>109</v>
      </c>
      <c r="G49" t="s">
        <v>53</v>
      </c>
      <c r="H49" t="s">
        <v>66</v>
      </c>
      <c r="I49" t="s">
        <v>66</v>
      </c>
      <c r="J49" t="s">
        <v>54</v>
      </c>
      <c r="K49">
        <v>201</v>
      </c>
      <c r="L49">
        <v>7</v>
      </c>
      <c r="M49">
        <v>211</v>
      </c>
      <c r="N49">
        <v>5</v>
      </c>
      <c r="O49" t="s">
        <v>66</v>
      </c>
      <c r="P49" t="s">
        <v>38</v>
      </c>
      <c r="Q49">
        <v>10</v>
      </c>
      <c r="R49">
        <v>0</v>
      </c>
      <c r="S49" t="s">
        <v>234</v>
      </c>
      <c r="T49" t="s">
        <v>40</v>
      </c>
      <c r="U49" t="s">
        <v>90</v>
      </c>
      <c r="V49" t="s">
        <v>58</v>
      </c>
      <c r="W49" t="s">
        <v>91</v>
      </c>
      <c r="X49" t="s">
        <v>72</v>
      </c>
      <c r="Y49" t="s">
        <v>45</v>
      </c>
      <c r="Z49">
        <v>20</v>
      </c>
      <c r="AA49">
        <v>6</v>
      </c>
      <c r="AB49" t="s">
        <v>46</v>
      </c>
      <c r="AC49" t="s">
        <v>47</v>
      </c>
      <c r="AD49" t="s">
        <v>235</v>
      </c>
      <c r="AE49" t="s">
        <v>236</v>
      </c>
    </row>
    <row r="50" spans="1:31" x14ac:dyDescent="0.2">
      <c r="A50" t="s">
        <v>31</v>
      </c>
      <c r="B50" t="s">
        <v>32</v>
      </c>
      <c r="C50">
        <v>50</v>
      </c>
      <c r="D50" s="1">
        <v>39592</v>
      </c>
      <c r="E50" t="s">
        <v>63</v>
      </c>
      <c r="F50" t="s">
        <v>64</v>
      </c>
      <c r="G50" t="s">
        <v>65</v>
      </c>
      <c r="H50" t="s">
        <v>87</v>
      </c>
      <c r="I50" t="s">
        <v>65</v>
      </c>
      <c r="J50" t="s">
        <v>37</v>
      </c>
      <c r="K50">
        <v>179</v>
      </c>
      <c r="L50">
        <v>5</v>
      </c>
      <c r="M50">
        <v>176</v>
      </c>
      <c r="N50">
        <v>8</v>
      </c>
      <c r="O50" t="s">
        <v>65</v>
      </c>
      <c r="P50" t="s">
        <v>38</v>
      </c>
      <c r="Q50">
        <v>0</v>
      </c>
      <c r="R50">
        <v>5</v>
      </c>
      <c r="S50" t="s">
        <v>237</v>
      </c>
      <c r="T50" t="s">
        <v>145</v>
      </c>
      <c r="U50" t="s">
        <v>80</v>
      </c>
      <c r="V50" t="s">
        <v>81</v>
      </c>
      <c r="W50" t="s">
        <v>188</v>
      </c>
      <c r="X50" t="s">
        <v>72</v>
      </c>
      <c r="Y50" t="s">
        <v>45</v>
      </c>
      <c r="Z50">
        <v>20</v>
      </c>
      <c r="AA50">
        <v>6</v>
      </c>
      <c r="AB50" t="s">
        <v>46</v>
      </c>
      <c r="AC50" t="s">
        <v>47</v>
      </c>
      <c r="AD50" t="s">
        <v>238</v>
      </c>
      <c r="AE50" t="s">
        <v>239</v>
      </c>
    </row>
    <row r="51" spans="1:31" x14ac:dyDescent="0.2">
      <c r="A51" t="s">
        <v>31</v>
      </c>
      <c r="B51" t="s">
        <v>32</v>
      </c>
      <c r="C51">
        <v>51</v>
      </c>
      <c r="D51" s="1">
        <v>39593</v>
      </c>
      <c r="E51" t="s">
        <v>101</v>
      </c>
      <c r="F51" t="s">
        <v>102</v>
      </c>
      <c r="G51" t="s">
        <v>77</v>
      </c>
      <c r="H51" t="s">
        <v>35</v>
      </c>
      <c r="I51" t="s">
        <v>77</v>
      </c>
      <c r="J51" t="s">
        <v>54</v>
      </c>
      <c r="K51">
        <v>165</v>
      </c>
      <c r="L51">
        <v>10</v>
      </c>
      <c r="M51">
        <v>171</v>
      </c>
      <c r="N51">
        <v>5</v>
      </c>
      <c r="O51" t="s">
        <v>35</v>
      </c>
      <c r="P51" t="s">
        <v>38</v>
      </c>
      <c r="Q51">
        <v>0</v>
      </c>
      <c r="R51">
        <v>5</v>
      </c>
      <c r="S51" t="s">
        <v>240</v>
      </c>
      <c r="T51" t="s">
        <v>104</v>
      </c>
      <c r="U51" t="s">
        <v>41</v>
      </c>
      <c r="V51" t="s">
        <v>42</v>
      </c>
      <c r="W51" t="s">
        <v>70</v>
      </c>
      <c r="X51" t="s">
        <v>72</v>
      </c>
      <c r="Y51" t="s">
        <v>45</v>
      </c>
      <c r="Z51">
        <v>20</v>
      </c>
      <c r="AA51">
        <v>6</v>
      </c>
      <c r="AB51" t="s">
        <v>46</v>
      </c>
      <c r="AC51" t="s">
        <v>47</v>
      </c>
      <c r="AD51" t="s">
        <v>241</v>
      </c>
      <c r="AE51" t="s">
        <v>242</v>
      </c>
    </row>
    <row r="52" spans="1:31" x14ac:dyDescent="0.2">
      <c r="A52" t="s">
        <v>31</v>
      </c>
      <c r="B52" t="s">
        <v>32</v>
      </c>
      <c r="C52">
        <v>52</v>
      </c>
      <c r="D52" s="1">
        <v>39593</v>
      </c>
      <c r="E52" t="s">
        <v>75</v>
      </c>
      <c r="F52" t="s">
        <v>76</v>
      </c>
      <c r="G52" t="s">
        <v>36</v>
      </c>
      <c r="H52" t="s">
        <v>52</v>
      </c>
      <c r="I52" t="s">
        <v>52</v>
      </c>
      <c r="J52" t="s">
        <v>54</v>
      </c>
      <c r="K52">
        <v>175</v>
      </c>
      <c r="L52">
        <v>7</v>
      </c>
      <c r="M52">
        <v>174</v>
      </c>
      <c r="N52">
        <v>6</v>
      </c>
      <c r="O52" t="s">
        <v>36</v>
      </c>
      <c r="P52" t="s">
        <v>38</v>
      </c>
      <c r="Q52">
        <v>0</v>
      </c>
      <c r="R52">
        <v>3</v>
      </c>
      <c r="S52" t="s">
        <v>243</v>
      </c>
      <c r="T52" t="s">
        <v>56</v>
      </c>
      <c r="U52" t="s">
        <v>89</v>
      </c>
      <c r="V52" t="s">
        <v>98</v>
      </c>
      <c r="W52" t="s">
        <v>137</v>
      </c>
      <c r="X52" t="s">
        <v>72</v>
      </c>
      <c r="Y52" t="s">
        <v>45</v>
      </c>
      <c r="Z52">
        <v>20</v>
      </c>
      <c r="AA52">
        <v>6</v>
      </c>
      <c r="AB52" t="s">
        <v>46</v>
      </c>
      <c r="AC52" t="s">
        <v>47</v>
      </c>
      <c r="AD52" t="s">
        <v>244</v>
      </c>
      <c r="AE52" t="s">
        <v>245</v>
      </c>
    </row>
    <row r="53" spans="1:31" x14ac:dyDescent="0.2">
      <c r="A53" t="s">
        <v>31</v>
      </c>
      <c r="B53" t="s">
        <v>32</v>
      </c>
      <c r="C53">
        <v>53</v>
      </c>
      <c r="D53" s="1">
        <v>39594</v>
      </c>
      <c r="E53" t="s">
        <v>95</v>
      </c>
      <c r="F53" t="s">
        <v>96</v>
      </c>
      <c r="G53" t="s">
        <v>66</v>
      </c>
      <c r="H53" t="s">
        <v>87</v>
      </c>
      <c r="I53" t="s">
        <v>66</v>
      </c>
      <c r="J53" t="s">
        <v>37</v>
      </c>
      <c r="K53">
        <v>146</v>
      </c>
      <c r="L53">
        <v>5</v>
      </c>
      <c r="M53">
        <v>145</v>
      </c>
      <c r="N53">
        <v>7</v>
      </c>
      <c r="O53" t="s">
        <v>66</v>
      </c>
      <c r="P53" t="s">
        <v>38</v>
      </c>
      <c r="Q53">
        <v>0</v>
      </c>
      <c r="R53">
        <v>5</v>
      </c>
      <c r="S53" t="s">
        <v>168</v>
      </c>
      <c r="T53" t="s">
        <v>145</v>
      </c>
      <c r="U53" t="s">
        <v>80</v>
      </c>
      <c r="V53" t="s">
        <v>81</v>
      </c>
      <c r="W53" t="s">
        <v>58</v>
      </c>
      <c r="X53" t="s">
        <v>60</v>
      </c>
      <c r="Y53" t="s">
        <v>45</v>
      </c>
      <c r="Z53">
        <v>20</v>
      </c>
      <c r="AA53">
        <v>6</v>
      </c>
      <c r="AB53" t="s">
        <v>46</v>
      </c>
      <c r="AC53" t="s">
        <v>47</v>
      </c>
      <c r="AD53" t="s">
        <v>246</v>
      </c>
      <c r="AE53" t="s">
        <v>247</v>
      </c>
    </row>
    <row r="54" spans="1:31" x14ac:dyDescent="0.2">
      <c r="A54" t="s">
        <v>31</v>
      </c>
      <c r="B54" t="s">
        <v>32</v>
      </c>
      <c r="C54">
        <v>54</v>
      </c>
      <c r="D54" s="1">
        <v>39595</v>
      </c>
      <c r="E54" t="s">
        <v>101</v>
      </c>
      <c r="F54" t="s">
        <v>102</v>
      </c>
      <c r="G54" t="s">
        <v>77</v>
      </c>
      <c r="H54" t="s">
        <v>53</v>
      </c>
      <c r="I54" t="s">
        <v>77</v>
      </c>
      <c r="J54" t="s">
        <v>54</v>
      </c>
      <c r="K54">
        <v>147</v>
      </c>
      <c r="L54">
        <v>8</v>
      </c>
      <c r="M54">
        <v>148</v>
      </c>
      <c r="N54">
        <v>3</v>
      </c>
      <c r="O54" t="s">
        <v>53</v>
      </c>
      <c r="P54" t="s">
        <v>38</v>
      </c>
      <c r="Q54">
        <v>0</v>
      </c>
      <c r="R54">
        <v>7</v>
      </c>
      <c r="S54" t="s">
        <v>248</v>
      </c>
      <c r="T54" t="s">
        <v>104</v>
      </c>
      <c r="U54" t="s">
        <v>188</v>
      </c>
      <c r="V54" t="s">
        <v>43</v>
      </c>
      <c r="W54" t="s">
        <v>70</v>
      </c>
      <c r="X54" t="s">
        <v>72</v>
      </c>
      <c r="Y54" t="s">
        <v>45</v>
      </c>
      <c r="Z54">
        <v>20</v>
      </c>
      <c r="AA54">
        <v>6</v>
      </c>
      <c r="AB54" t="s">
        <v>46</v>
      </c>
      <c r="AC54" t="s">
        <v>47</v>
      </c>
      <c r="AD54" t="s">
        <v>249</v>
      </c>
      <c r="AE54" t="s">
        <v>250</v>
      </c>
    </row>
    <row r="55" spans="1:31" x14ac:dyDescent="0.2">
      <c r="A55" t="s">
        <v>31</v>
      </c>
      <c r="B55" t="s">
        <v>32</v>
      </c>
      <c r="C55">
        <v>55</v>
      </c>
      <c r="D55" s="1">
        <v>39596</v>
      </c>
      <c r="E55" t="s">
        <v>33</v>
      </c>
      <c r="F55" t="s">
        <v>34</v>
      </c>
      <c r="G55" t="s">
        <v>35</v>
      </c>
      <c r="H55" t="s">
        <v>87</v>
      </c>
      <c r="I55" t="s">
        <v>87</v>
      </c>
      <c r="J55" t="s">
        <v>37</v>
      </c>
      <c r="K55">
        <v>122</v>
      </c>
      <c r="L55">
        <v>9</v>
      </c>
      <c r="M55">
        <v>126</v>
      </c>
      <c r="N55">
        <v>1</v>
      </c>
      <c r="O55" t="s">
        <v>87</v>
      </c>
      <c r="P55" t="s">
        <v>38</v>
      </c>
      <c r="Q55">
        <v>0</v>
      </c>
      <c r="R55">
        <v>9</v>
      </c>
      <c r="S55" t="s">
        <v>251</v>
      </c>
      <c r="T55" t="s">
        <v>145</v>
      </c>
      <c r="U55" t="s">
        <v>80</v>
      </c>
      <c r="V55" t="s">
        <v>91</v>
      </c>
      <c r="W55" t="s">
        <v>137</v>
      </c>
      <c r="X55" t="s">
        <v>72</v>
      </c>
      <c r="Y55" t="s">
        <v>45</v>
      </c>
      <c r="Z55">
        <v>20</v>
      </c>
      <c r="AA55">
        <v>6</v>
      </c>
      <c r="AB55" t="s">
        <v>46</v>
      </c>
      <c r="AC55" t="s">
        <v>47</v>
      </c>
      <c r="AD55" t="s">
        <v>252</v>
      </c>
      <c r="AE55" t="s">
        <v>253</v>
      </c>
    </row>
    <row r="56" spans="1:31" x14ac:dyDescent="0.2">
      <c r="A56" t="s">
        <v>31</v>
      </c>
      <c r="B56" t="s">
        <v>32</v>
      </c>
      <c r="C56">
        <v>56</v>
      </c>
      <c r="D56" s="1">
        <v>39596</v>
      </c>
      <c r="E56" t="s">
        <v>50</v>
      </c>
      <c r="F56" t="s">
        <v>51</v>
      </c>
      <c r="G56" t="s">
        <v>52</v>
      </c>
      <c r="H56" t="s">
        <v>66</v>
      </c>
      <c r="I56" t="s">
        <v>66</v>
      </c>
      <c r="J56" t="s">
        <v>37</v>
      </c>
      <c r="K56">
        <v>221</v>
      </c>
      <c r="L56">
        <v>3</v>
      </c>
      <c r="M56">
        <v>180</v>
      </c>
      <c r="N56">
        <v>7</v>
      </c>
      <c r="O56" t="s">
        <v>52</v>
      </c>
      <c r="P56" t="s">
        <v>38</v>
      </c>
      <c r="Q56">
        <v>41</v>
      </c>
      <c r="R56">
        <v>0</v>
      </c>
      <c r="S56" t="s">
        <v>152</v>
      </c>
      <c r="T56" t="s">
        <v>56</v>
      </c>
      <c r="U56" t="s">
        <v>89</v>
      </c>
      <c r="V56" t="s">
        <v>81</v>
      </c>
      <c r="W56" t="s">
        <v>90</v>
      </c>
      <c r="X56" t="s">
        <v>128</v>
      </c>
      <c r="Y56" t="s">
        <v>45</v>
      </c>
      <c r="Z56">
        <v>20</v>
      </c>
      <c r="AA56">
        <v>6</v>
      </c>
      <c r="AB56" t="s">
        <v>46</v>
      </c>
      <c r="AC56" t="s">
        <v>47</v>
      </c>
      <c r="AD56" t="s">
        <v>254</v>
      </c>
      <c r="AE56" t="s">
        <v>255</v>
      </c>
    </row>
    <row r="57" spans="1:31" x14ac:dyDescent="0.2">
      <c r="A57" t="s">
        <v>31</v>
      </c>
      <c r="B57" t="s">
        <v>32</v>
      </c>
      <c r="C57" t="s">
        <v>256</v>
      </c>
      <c r="D57" s="1">
        <v>39598</v>
      </c>
      <c r="E57" t="s">
        <v>85</v>
      </c>
      <c r="F57" t="s">
        <v>86</v>
      </c>
      <c r="G57" t="s">
        <v>65</v>
      </c>
      <c r="H57" t="s">
        <v>66</v>
      </c>
      <c r="I57" t="s">
        <v>65</v>
      </c>
      <c r="J57" t="s">
        <v>37</v>
      </c>
      <c r="K57">
        <v>87</v>
      </c>
      <c r="L57">
        <v>10</v>
      </c>
      <c r="M57">
        <v>192</v>
      </c>
      <c r="N57">
        <v>9</v>
      </c>
      <c r="O57" t="s">
        <v>66</v>
      </c>
      <c r="P57" t="s">
        <v>38</v>
      </c>
      <c r="Q57">
        <v>105</v>
      </c>
      <c r="R57">
        <v>0</v>
      </c>
      <c r="S57" t="s">
        <v>97</v>
      </c>
      <c r="T57" t="s">
        <v>40</v>
      </c>
      <c r="U57" t="s">
        <v>80</v>
      </c>
      <c r="V57" t="s">
        <v>42</v>
      </c>
      <c r="W57" t="s">
        <v>137</v>
      </c>
      <c r="X57" t="s">
        <v>72</v>
      </c>
      <c r="Y57" t="s">
        <v>45</v>
      </c>
      <c r="Z57">
        <v>20</v>
      </c>
      <c r="AA57">
        <v>6</v>
      </c>
      <c r="AB57" t="s">
        <v>46</v>
      </c>
      <c r="AC57" t="s">
        <v>47</v>
      </c>
      <c r="AD57" t="s">
        <v>257</v>
      </c>
      <c r="AE57" t="s">
        <v>258</v>
      </c>
    </row>
    <row r="58" spans="1:31" x14ac:dyDescent="0.2">
      <c r="A58" t="s">
        <v>31</v>
      </c>
      <c r="B58" t="s">
        <v>32</v>
      </c>
      <c r="C58" t="s">
        <v>256</v>
      </c>
      <c r="D58" s="1">
        <v>39599</v>
      </c>
      <c r="E58" t="s">
        <v>85</v>
      </c>
      <c r="F58" t="s">
        <v>86</v>
      </c>
      <c r="G58" t="s">
        <v>53</v>
      </c>
      <c r="H58" t="s">
        <v>52</v>
      </c>
      <c r="I58" t="s">
        <v>52</v>
      </c>
      <c r="J58" t="s">
        <v>54</v>
      </c>
      <c r="K58">
        <v>116</v>
      </c>
      <c r="L58">
        <v>1</v>
      </c>
      <c r="M58">
        <v>112</v>
      </c>
      <c r="N58">
        <v>8</v>
      </c>
      <c r="O58" t="s">
        <v>53</v>
      </c>
      <c r="P58" t="s">
        <v>38</v>
      </c>
      <c r="Q58">
        <v>0</v>
      </c>
      <c r="R58">
        <v>9</v>
      </c>
      <c r="S58" t="s">
        <v>215</v>
      </c>
      <c r="T58" t="s">
        <v>56</v>
      </c>
      <c r="U58" t="s">
        <v>41</v>
      </c>
      <c r="V58" t="s">
        <v>90</v>
      </c>
      <c r="W58" t="s">
        <v>81</v>
      </c>
      <c r="X58" t="s">
        <v>72</v>
      </c>
      <c r="Y58" t="s">
        <v>45</v>
      </c>
      <c r="Z58">
        <v>20</v>
      </c>
      <c r="AA58">
        <v>6</v>
      </c>
      <c r="AB58" t="s">
        <v>46</v>
      </c>
      <c r="AC58" t="s">
        <v>47</v>
      </c>
      <c r="AD58" t="s">
        <v>259</v>
      </c>
      <c r="AE58" t="s">
        <v>260</v>
      </c>
    </row>
    <row r="59" spans="1:31" x14ac:dyDescent="0.2">
      <c r="A59" t="s">
        <v>31</v>
      </c>
      <c r="B59" t="s">
        <v>32</v>
      </c>
      <c r="C59" t="s">
        <v>256</v>
      </c>
      <c r="D59" s="1">
        <v>39600</v>
      </c>
      <c r="E59" t="s">
        <v>85</v>
      </c>
      <c r="F59" t="s">
        <v>131</v>
      </c>
      <c r="G59" t="s">
        <v>53</v>
      </c>
      <c r="H59" t="s">
        <v>66</v>
      </c>
      <c r="I59" t="s">
        <v>66</v>
      </c>
      <c r="J59" t="s">
        <v>37</v>
      </c>
      <c r="K59">
        <v>163</v>
      </c>
      <c r="L59">
        <v>5</v>
      </c>
      <c r="M59">
        <v>164</v>
      </c>
      <c r="N59">
        <v>7</v>
      </c>
      <c r="O59" t="s">
        <v>66</v>
      </c>
      <c r="P59" t="s">
        <v>38</v>
      </c>
      <c r="Q59">
        <v>0</v>
      </c>
      <c r="R59">
        <v>3</v>
      </c>
      <c r="S59" t="s">
        <v>114</v>
      </c>
      <c r="T59" t="s">
        <v>40</v>
      </c>
      <c r="U59" t="s">
        <v>80</v>
      </c>
      <c r="V59" t="s">
        <v>42</v>
      </c>
      <c r="W59" t="s">
        <v>90</v>
      </c>
      <c r="X59" t="s">
        <v>261</v>
      </c>
      <c r="Y59" t="s">
        <v>45</v>
      </c>
      <c r="Z59">
        <v>20</v>
      </c>
      <c r="AA59">
        <v>6</v>
      </c>
      <c r="AB59" t="s">
        <v>46</v>
      </c>
      <c r="AC59" t="s">
        <v>47</v>
      </c>
      <c r="AD59" t="s">
        <v>262</v>
      </c>
      <c r="AE59" t="s">
        <v>263</v>
      </c>
    </row>
    <row r="60" spans="1:31" x14ac:dyDescent="0.2">
      <c r="A60" t="s">
        <v>31</v>
      </c>
      <c r="B60">
        <v>2009</v>
      </c>
      <c r="C60">
        <v>1</v>
      </c>
      <c r="D60" s="1">
        <v>39921</v>
      </c>
      <c r="E60" t="s">
        <v>264</v>
      </c>
      <c r="F60" t="s">
        <v>265</v>
      </c>
      <c r="G60" t="s">
        <v>53</v>
      </c>
      <c r="H60" t="s">
        <v>87</v>
      </c>
      <c r="I60" t="s">
        <v>53</v>
      </c>
      <c r="J60" t="s">
        <v>37</v>
      </c>
      <c r="K60">
        <v>146</v>
      </c>
      <c r="L60">
        <v>7</v>
      </c>
      <c r="M60">
        <v>165</v>
      </c>
      <c r="N60">
        <v>7</v>
      </c>
      <c r="O60" t="s">
        <v>87</v>
      </c>
      <c r="P60" t="s">
        <v>38</v>
      </c>
      <c r="Q60">
        <v>19</v>
      </c>
      <c r="R60">
        <v>0</v>
      </c>
      <c r="S60" t="s">
        <v>266</v>
      </c>
      <c r="T60" t="s">
        <v>68</v>
      </c>
      <c r="U60" t="s">
        <v>137</v>
      </c>
      <c r="V60" t="s">
        <v>81</v>
      </c>
      <c r="W60" t="s">
        <v>59</v>
      </c>
      <c r="X60" t="s">
        <v>267</v>
      </c>
      <c r="Y60" t="s">
        <v>45</v>
      </c>
      <c r="Z60">
        <v>20</v>
      </c>
      <c r="AA60">
        <v>6</v>
      </c>
      <c r="AB60" t="s">
        <v>46</v>
      </c>
      <c r="AC60" t="s">
        <v>47</v>
      </c>
      <c r="AD60" t="s">
        <v>268</v>
      </c>
      <c r="AE60" t="s">
        <v>269</v>
      </c>
    </row>
    <row r="61" spans="1:31" x14ac:dyDescent="0.2">
      <c r="A61" t="s">
        <v>31</v>
      </c>
      <c r="B61">
        <v>2009</v>
      </c>
      <c r="C61">
        <v>2</v>
      </c>
      <c r="D61" s="1">
        <v>39921</v>
      </c>
      <c r="E61" t="s">
        <v>264</v>
      </c>
      <c r="F61" t="s">
        <v>265</v>
      </c>
      <c r="G61" t="s">
        <v>35</v>
      </c>
      <c r="H61" t="s">
        <v>66</v>
      </c>
      <c r="I61" t="s">
        <v>35</v>
      </c>
      <c r="J61" t="s">
        <v>54</v>
      </c>
      <c r="K61">
        <v>133</v>
      </c>
      <c r="L61">
        <v>8</v>
      </c>
      <c r="M61">
        <v>58</v>
      </c>
      <c r="N61">
        <v>10</v>
      </c>
      <c r="O61" t="s">
        <v>35</v>
      </c>
      <c r="P61" t="s">
        <v>38</v>
      </c>
      <c r="Q61">
        <v>75</v>
      </c>
      <c r="R61">
        <v>0</v>
      </c>
      <c r="S61" t="s">
        <v>270</v>
      </c>
      <c r="T61" t="s">
        <v>68</v>
      </c>
      <c r="U61" t="s">
        <v>137</v>
      </c>
      <c r="V61" t="s">
        <v>59</v>
      </c>
      <c r="W61" t="s">
        <v>81</v>
      </c>
      <c r="X61" t="s">
        <v>267</v>
      </c>
      <c r="Y61" t="s">
        <v>45</v>
      </c>
      <c r="Z61">
        <v>20</v>
      </c>
      <c r="AA61">
        <v>6</v>
      </c>
      <c r="AB61" t="s">
        <v>46</v>
      </c>
      <c r="AC61" t="s">
        <v>47</v>
      </c>
      <c r="AD61" t="s">
        <v>271</v>
      </c>
      <c r="AE61" t="s">
        <v>272</v>
      </c>
    </row>
    <row r="62" spans="1:31" x14ac:dyDescent="0.2">
      <c r="A62" t="s">
        <v>31</v>
      </c>
      <c r="B62">
        <v>2009</v>
      </c>
      <c r="C62">
        <v>3</v>
      </c>
      <c r="D62" s="1">
        <v>39922</v>
      </c>
      <c r="E62" t="s">
        <v>264</v>
      </c>
      <c r="F62" t="s">
        <v>265</v>
      </c>
      <c r="G62" t="s">
        <v>65</v>
      </c>
      <c r="H62" t="s">
        <v>52</v>
      </c>
      <c r="I62" t="s">
        <v>65</v>
      </c>
      <c r="J62" t="s">
        <v>37</v>
      </c>
      <c r="K62">
        <v>58</v>
      </c>
      <c r="L62">
        <v>0</v>
      </c>
      <c r="M62">
        <v>104</v>
      </c>
      <c r="N62">
        <v>7</v>
      </c>
      <c r="O62" t="s">
        <v>65</v>
      </c>
      <c r="P62" t="s">
        <v>38</v>
      </c>
      <c r="Q62">
        <v>0</v>
      </c>
      <c r="R62">
        <v>10</v>
      </c>
      <c r="S62" t="s">
        <v>273</v>
      </c>
      <c r="T62" t="s">
        <v>274</v>
      </c>
      <c r="U62" t="s">
        <v>57</v>
      </c>
      <c r="V62" t="s">
        <v>275</v>
      </c>
      <c r="W62" t="s">
        <v>276</v>
      </c>
      <c r="X62" t="s">
        <v>277</v>
      </c>
      <c r="Y62" t="s">
        <v>45</v>
      </c>
      <c r="Z62">
        <v>20</v>
      </c>
      <c r="AA62">
        <v>6</v>
      </c>
      <c r="AB62" t="s">
        <v>46</v>
      </c>
      <c r="AC62" t="s">
        <v>47</v>
      </c>
      <c r="AD62" t="s">
        <v>278</v>
      </c>
      <c r="AE62" t="s">
        <v>279</v>
      </c>
    </row>
    <row r="63" spans="1:31" x14ac:dyDescent="0.2">
      <c r="A63" t="s">
        <v>31</v>
      </c>
      <c r="B63">
        <v>2009</v>
      </c>
      <c r="C63">
        <v>4</v>
      </c>
      <c r="D63" s="1">
        <v>39922</v>
      </c>
      <c r="E63" t="s">
        <v>264</v>
      </c>
      <c r="F63" t="s">
        <v>265</v>
      </c>
      <c r="G63" t="s">
        <v>77</v>
      </c>
      <c r="H63" t="s">
        <v>36</v>
      </c>
      <c r="I63" t="s">
        <v>36</v>
      </c>
      <c r="J63" t="s">
        <v>54</v>
      </c>
      <c r="K63">
        <v>104</v>
      </c>
      <c r="L63">
        <v>2</v>
      </c>
      <c r="M63">
        <v>101</v>
      </c>
      <c r="N63">
        <v>10</v>
      </c>
      <c r="O63" t="s">
        <v>77</v>
      </c>
      <c r="P63" t="s">
        <v>38</v>
      </c>
      <c r="Q63">
        <v>0</v>
      </c>
      <c r="R63">
        <v>8</v>
      </c>
      <c r="S63" t="s">
        <v>280</v>
      </c>
      <c r="T63" t="s">
        <v>274</v>
      </c>
      <c r="U63" t="s">
        <v>57</v>
      </c>
      <c r="V63" t="s">
        <v>137</v>
      </c>
      <c r="W63" t="s">
        <v>275</v>
      </c>
      <c r="X63" t="s">
        <v>277</v>
      </c>
      <c r="Y63" t="s">
        <v>45</v>
      </c>
      <c r="Z63">
        <v>20</v>
      </c>
      <c r="AA63">
        <v>6</v>
      </c>
      <c r="AB63" t="s">
        <v>46</v>
      </c>
      <c r="AC63" t="s">
        <v>47</v>
      </c>
      <c r="AD63" t="s">
        <v>281</v>
      </c>
      <c r="AE63" t="s">
        <v>282</v>
      </c>
    </row>
    <row r="64" spans="1:31" x14ac:dyDescent="0.2">
      <c r="A64" t="s">
        <v>31</v>
      </c>
      <c r="B64">
        <v>2009</v>
      </c>
      <c r="C64">
        <v>5</v>
      </c>
      <c r="D64" s="1">
        <v>39923</v>
      </c>
      <c r="E64" t="s">
        <v>283</v>
      </c>
      <c r="F64" t="s">
        <v>284</v>
      </c>
      <c r="G64" t="s">
        <v>35</v>
      </c>
      <c r="H64" t="s">
        <v>53</v>
      </c>
      <c r="I64" t="s">
        <v>53</v>
      </c>
      <c r="J64" t="s">
        <v>54</v>
      </c>
      <c r="K64">
        <v>87</v>
      </c>
      <c r="L64">
        <v>10</v>
      </c>
      <c r="M64">
        <v>179</v>
      </c>
      <c r="N64">
        <v>5</v>
      </c>
      <c r="O64" t="s">
        <v>53</v>
      </c>
      <c r="P64" t="s">
        <v>38</v>
      </c>
      <c r="Q64">
        <v>92</v>
      </c>
      <c r="R64">
        <v>0</v>
      </c>
      <c r="S64" t="s">
        <v>285</v>
      </c>
      <c r="T64" t="s">
        <v>68</v>
      </c>
      <c r="U64" t="s">
        <v>188</v>
      </c>
      <c r="V64" t="s">
        <v>286</v>
      </c>
      <c r="W64" t="s">
        <v>59</v>
      </c>
      <c r="X64" t="s">
        <v>287</v>
      </c>
      <c r="Y64" t="s">
        <v>45</v>
      </c>
      <c r="Z64">
        <v>20</v>
      </c>
      <c r="AA64">
        <v>6</v>
      </c>
      <c r="AB64" t="s">
        <v>46</v>
      </c>
      <c r="AC64" t="s">
        <v>47</v>
      </c>
      <c r="AD64" t="s">
        <v>288</v>
      </c>
      <c r="AE64" t="s">
        <v>289</v>
      </c>
    </row>
    <row r="65" spans="1:31" x14ac:dyDescent="0.2">
      <c r="A65" t="s">
        <v>31</v>
      </c>
      <c r="B65">
        <v>2009</v>
      </c>
      <c r="C65">
        <v>6</v>
      </c>
      <c r="D65" s="1">
        <v>39924</v>
      </c>
      <c r="E65" t="s">
        <v>290</v>
      </c>
      <c r="F65" t="s">
        <v>291</v>
      </c>
      <c r="G65" t="s">
        <v>52</v>
      </c>
      <c r="H65" t="s">
        <v>36</v>
      </c>
      <c r="I65" t="s">
        <v>36</v>
      </c>
      <c r="J65" t="s">
        <v>37</v>
      </c>
      <c r="K65">
        <v>158</v>
      </c>
      <c r="L65">
        <v>6</v>
      </c>
      <c r="M65">
        <v>79</v>
      </c>
      <c r="N65">
        <v>1</v>
      </c>
      <c r="O65" t="s">
        <v>36</v>
      </c>
      <c r="P65" t="s">
        <v>38</v>
      </c>
      <c r="Q65">
        <v>11</v>
      </c>
      <c r="R65">
        <v>0</v>
      </c>
      <c r="S65" t="s">
        <v>292</v>
      </c>
      <c r="T65" t="s">
        <v>293</v>
      </c>
      <c r="U65" t="s">
        <v>90</v>
      </c>
      <c r="V65" t="s">
        <v>275</v>
      </c>
      <c r="W65" t="s">
        <v>294</v>
      </c>
      <c r="X65" t="s">
        <v>267</v>
      </c>
      <c r="Y65" t="s">
        <v>45</v>
      </c>
      <c r="Z65">
        <v>20</v>
      </c>
      <c r="AA65">
        <v>6</v>
      </c>
      <c r="AB65" t="s">
        <v>46</v>
      </c>
      <c r="AC65" t="s">
        <v>47</v>
      </c>
      <c r="AD65" t="s">
        <v>295</v>
      </c>
      <c r="AE65" t="s">
        <v>296</v>
      </c>
    </row>
    <row r="66" spans="1:31" x14ac:dyDescent="0.2">
      <c r="A66" t="s">
        <v>31</v>
      </c>
      <c r="B66">
        <v>2009</v>
      </c>
      <c r="C66">
        <v>8</v>
      </c>
      <c r="D66" s="1">
        <v>39925</v>
      </c>
      <c r="E66" t="s">
        <v>264</v>
      </c>
      <c r="F66" t="s">
        <v>265</v>
      </c>
      <c r="G66" t="s">
        <v>35</v>
      </c>
      <c r="H66" t="s">
        <v>77</v>
      </c>
      <c r="I66" t="s">
        <v>77</v>
      </c>
      <c r="J66" t="s">
        <v>54</v>
      </c>
      <c r="K66">
        <v>160</v>
      </c>
      <c r="L66">
        <v>8</v>
      </c>
      <c r="M66">
        <v>184</v>
      </c>
      <c r="N66">
        <v>6</v>
      </c>
      <c r="O66" t="s">
        <v>77</v>
      </c>
      <c r="P66" t="s">
        <v>38</v>
      </c>
      <c r="Q66">
        <v>24</v>
      </c>
      <c r="R66">
        <v>0</v>
      </c>
      <c r="S66" t="s">
        <v>132</v>
      </c>
      <c r="T66" t="s">
        <v>274</v>
      </c>
      <c r="U66" t="s">
        <v>297</v>
      </c>
      <c r="V66" t="s">
        <v>43</v>
      </c>
      <c r="W66" t="s">
        <v>57</v>
      </c>
      <c r="X66" t="s">
        <v>72</v>
      </c>
      <c r="Y66" t="s">
        <v>45</v>
      </c>
      <c r="Z66">
        <v>20</v>
      </c>
      <c r="AA66">
        <v>6</v>
      </c>
      <c r="AB66" t="s">
        <v>46</v>
      </c>
      <c r="AC66" t="s">
        <v>47</v>
      </c>
      <c r="AD66" t="s">
        <v>298</v>
      </c>
      <c r="AE66" t="s">
        <v>299</v>
      </c>
    </row>
    <row r="67" spans="1:31" x14ac:dyDescent="0.2">
      <c r="A67" t="s">
        <v>31</v>
      </c>
      <c r="B67">
        <v>2009</v>
      </c>
      <c r="C67">
        <v>9</v>
      </c>
      <c r="D67" s="1">
        <v>39926</v>
      </c>
      <c r="E67" t="s">
        <v>290</v>
      </c>
      <c r="F67" t="s">
        <v>291</v>
      </c>
      <c r="G67" t="s">
        <v>53</v>
      </c>
      <c r="H67" t="s">
        <v>65</v>
      </c>
      <c r="I67" t="s">
        <v>65</v>
      </c>
      <c r="J67" t="s">
        <v>54</v>
      </c>
      <c r="K67">
        <v>180</v>
      </c>
      <c r="L67">
        <v>9</v>
      </c>
      <c r="M67">
        <v>189</v>
      </c>
      <c r="N67">
        <v>5</v>
      </c>
      <c r="O67" t="s">
        <v>65</v>
      </c>
      <c r="P67" t="s">
        <v>38</v>
      </c>
      <c r="Q67">
        <v>9</v>
      </c>
      <c r="R67">
        <v>0</v>
      </c>
      <c r="S67" t="s">
        <v>300</v>
      </c>
      <c r="T67" t="s">
        <v>293</v>
      </c>
      <c r="U67" t="s">
        <v>137</v>
      </c>
      <c r="V67" t="s">
        <v>286</v>
      </c>
      <c r="W67" t="s">
        <v>275</v>
      </c>
      <c r="X67" t="s">
        <v>301</v>
      </c>
      <c r="Y67" t="s">
        <v>45</v>
      </c>
      <c r="Z67">
        <v>20</v>
      </c>
      <c r="AA67">
        <v>6</v>
      </c>
      <c r="AB67" t="s">
        <v>46</v>
      </c>
      <c r="AC67" t="s">
        <v>47</v>
      </c>
      <c r="AD67" t="s">
        <v>302</v>
      </c>
      <c r="AE67" t="s">
        <v>303</v>
      </c>
    </row>
    <row r="68" spans="1:31" x14ac:dyDescent="0.2">
      <c r="A68" t="s">
        <v>31</v>
      </c>
      <c r="B68">
        <v>2009</v>
      </c>
      <c r="C68">
        <v>10</v>
      </c>
      <c r="D68" s="1">
        <v>39926</v>
      </c>
      <c r="E68" t="s">
        <v>264</v>
      </c>
      <c r="F68" t="s">
        <v>265</v>
      </c>
      <c r="G68" t="s">
        <v>36</v>
      </c>
      <c r="H68" t="s">
        <v>66</v>
      </c>
      <c r="I68" t="s">
        <v>36</v>
      </c>
      <c r="J68" t="s">
        <v>37</v>
      </c>
      <c r="K68">
        <v>165</v>
      </c>
      <c r="L68">
        <v>9</v>
      </c>
      <c r="M68">
        <v>168</v>
      </c>
      <c r="N68">
        <v>6</v>
      </c>
      <c r="O68" t="s">
        <v>304</v>
      </c>
      <c r="P68" t="s">
        <v>305</v>
      </c>
      <c r="Q68">
        <v>0</v>
      </c>
      <c r="R68">
        <v>0</v>
      </c>
      <c r="S68" t="s">
        <v>114</v>
      </c>
      <c r="T68" t="s">
        <v>68</v>
      </c>
      <c r="U68" t="s">
        <v>57</v>
      </c>
      <c r="V68" t="s">
        <v>297</v>
      </c>
      <c r="W68" t="s">
        <v>43</v>
      </c>
      <c r="X68" t="s">
        <v>267</v>
      </c>
      <c r="Y68" t="s">
        <v>45</v>
      </c>
      <c r="Z68">
        <v>20</v>
      </c>
      <c r="AA68">
        <v>6</v>
      </c>
      <c r="AB68" t="s">
        <v>46</v>
      </c>
      <c r="AC68" t="s">
        <v>47</v>
      </c>
      <c r="AD68" t="s">
        <v>306</v>
      </c>
      <c r="AE68" t="s">
        <v>307</v>
      </c>
    </row>
    <row r="69" spans="1:31" x14ac:dyDescent="0.2">
      <c r="A69" t="s">
        <v>31</v>
      </c>
      <c r="B69">
        <v>2009</v>
      </c>
      <c r="C69">
        <v>11</v>
      </c>
      <c r="D69" s="1">
        <v>39927</v>
      </c>
      <c r="E69" t="s">
        <v>290</v>
      </c>
      <c r="F69" t="s">
        <v>291</v>
      </c>
      <c r="G69" t="s">
        <v>35</v>
      </c>
      <c r="H69" t="s">
        <v>52</v>
      </c>
      <c r="I69" t="s">
        <v>35</v>
      </c>
      <c r="J69" t="s">
        <v>54</v>
      </c>
      <c r="K69">
        <v>168</v>
      </c>
      <c r="L69">
        <v>9</v>
      </c>
      <c r="M69">
        <v>173</v>
      </c>
      <c r="N69">
        <v>3</v>
      </c>
      <c r="O69" t="s">
        <v>52</v>
      </c>
      <c r="P69" t="s">
        <v>38</v>
      </c>
      <c r="Q69">
        <v>0</v>
      </c>
      <c r="R69">
        <v>7</v>
      </c>
      <c r="S69" t="s">
        <v>308</v>
      </c>
      <c r="T69" t="s">
        <v>293</v>
      </c>
      <c r="U69" t="s">
        <v>137</v>
      </c>
      <c r="V69" t="s">
        <v>294</v>
      </c>
      <c r="W69" t="s">
        <v>286</v>
      </c>
      <c r="X69" t="s">
        <v>301</v>
      </c>
      <c r="Y69" t="s">
        <v>45</v>
      </c>
      <c r="Z69">
        <v>20</v>
      </c>
      <c r="AA69">
        <v>6</v>
      </c>
      <c r="AB69" t="s">
        <v>46</v>
      </c>
      <c r="AC69" t="s">
        <v>47</v>
      </c>
      <c r="AD69" t="s">
        <v>309</v>
      </c>
      <c r="AE69" t="s">
        <v>310</v>
      </c>
    </row>
    <row r="70" spans="1:31" x14ac:dyDescent="0.2">
      <c r="A70" t="s">
        <v>31</v>
      </c>
      <c r="B70">
        <v>2009</v>
      </c>
      <c r="C70">
        <v>12</v>
      </c>
      <c r="D70" s="1">
        <v>39928</v>
      </c>
      <c r="E70" t="s">
        <v>290</v>
      </c>
      <c r="F70" t="s">
        <v>291</v>
      </c>
      <c r="G70" t="s">
        <v>77</v>
      </c>
      <c r="H70" t="s">
        <v>87</v>
      </c>
      <c r="I70" t="s">
        <v>77</v>
      </c>
      <c r="J70" t="s">
        <v>54</v>
      </c>
      <c r="K70">
        <v>168</v>
      </c>
      <c r="L70">
        <v>9</v>
      </c>
      <c r="M70">
        <v>156</v>
      </c>
      <c r="N70">
        <v>7</v>
      </c>
      <c r="O70" t="s">
        <v>77</v>
      </c>
      <c r="P70" t="s">
        <v>38</v>
      </c>
      <c r="Q70">
        <v>12</v>
      </c>
      <c r="R70">
        <v>0</v>
      </c>
      <c r="S70" t="s">
        <v>311</v>
      </c>
      <c r="T70" t="s">
        <v>293</v>
      </c>
      <c r="U70" t="s">
        <v>312</v>
      </c>
      <c r="V70" t="s">
        <v>286</v>
      </c>
      <c r="W70" t="s">
        <v>275</v>
      </c>
      <c r="X70" t="s">
        <v>301</v>
      </c>
      <c r="Y70" t="s">
        <v>45</v>
      </c>
      <c r="Z70">
        <v>20</v>
      </c>
      <c r="AA70">
        <v>6</v>
      </c>
      <c r="AB70" t="s">
        <v>46</v>
      </c>
      <c r="AC70" t="s">
        <v>47</v>
      </c>
      <c r="AD70" t="s">
        <v>313</v>
      </c>
      <c r="AE70" t="s">
        <v>314</v>
      </c>
    </row>
    <row r="71" spans="1:31" x14ac:dyDescent="0.2">
      <c r="A71" t="s">
        <v>31</v>
      </c>
      <c r="B71">
        <v>2009</v>
      </c>
      <c r="C71">
        <v>14</v>
      </c>
      <c r="D71" s="1">
        <v>39929</v>
      </c>
      <c r="E71" t="s">
        <v>283</v>
      </c>
      <c r="F71" t="s">
        <v>284</v>
      </c>
      <c r="G71" t="s">
        <v>35</v>
      </c>
      <c r="H71" t="s">
        <v>65</v>
      </c>
      <c r="I71" t="s">
        <v>35</v>
      </c>
      <c r="J71" t="s">
        <v>54</v>
      </c>
      <c r="K71">
        <v>149</v>
      </c>
      <c r="L71">
        <v>7</v>
      </c>
      <c r="M71">
        <v>150</v>
      </c>
      <c r="N71">
        <v>4</v>
      </c>
      <c r="O71" t="s">
        <v>65</v>
      </c>
      <c r="P71" t="s">
        <v>38</v>
      </c>
      <c r="Q71">
        <v>0</v>
      </c>
      <c r="R71">
        <v>6</v>
      </c>
      <c r="S71" t="s">
        <v>315</v>
      </c>
      <c r="T71" t="s">
        <v>274</v>
      </c>
      <c r="U71" t="s">
        <v>316</v>
      </c>
      <c r="V71" t="s">
        <v>188</v>
      </c>
      <c r="W71" t="s">
        <v>137</v>
      </c>
      <c r="X71" t="s">
        <v>287</v>
      </c>
      <c r="Y71" t="s">
        <v>45</v>
      </c>
      <c r="Z71">
        <v>20</v>
      </c>
      <c r="AA71">
        <v>6</v>
      </c>
      <c r="AB71" t="s">
        <v>46</v>
      </c>
      <c r="AC71" t="s">
        <v>47</v>
      </c>
      <c r="AD71" t="s">
        <v>317</v>
      </c>
      <c r="AE71" t="s">
        <v>318</v>
      </c>
    </row>
    <row r="72" spans="1:31" x14ac:dyDescent="0.2">
      <c r="A72" t="s">
        <v>31</v>
      </c>
      <c r="B72">
        <v>2009</v>
      </c>
      <c r="C72">
        <v>15</v>
      </c>
      <c r="D72" s="1">
        <v>39929</v>
      </c>
      <c r="E72" t="s">
        <v>264</v>
      </c>
      <c r="F72" t="s">
        <v>265</v>
      </c>
      <c r="G72" t="s">
        <v>52</v>
      </c>
      <c r="H72" t="s">
        <v>66</v>
      </c>
      <c r="I72" t="s">
        <v>52</v>
      </c>
      <c r="J72" t="s">
        <v>54</v>
      </c>
      <c r="K72">
        <v>139</v>
      </c>
      <c r="L72">
        <v>6</v>
      </c>
      <c r="M72">
        <v>112</v>
      </c>
      <c r="N72">
        <v>7</v>
      </c>
      <c r="O72" t="s">
        <v>52</v>
      </c>
      <c r="P72" t="s">
        <v>38</v>
      </c>
      <c r="Q72">
        <v>27</v>
      </c>
      <c r="R72">
        <v>0</v>
      </c>
      <c r="S72" t="s">
        <v>117</v>
      </c>
      <c r="T72" t="s">
        <v>68</v>
      </c>
      <c r="U72" t="s">
        <v>297</v>
      </c>
      <c r="V72" t="s">
        <v>81</v>
      </c>
      <c r="W72" t="s">
        <v>57</v>
      </c>
      <c r="X72" t="s">
        <v>267</v>
      </c>
      <c r="Y72" t="s">
        <v>45</v>
      </c>
      <c r="Z72">
        <v>20</v>
      </c>
      <c r="AA72">
        <v>6</v>
      </c>
      <c r="AB72" t="s">
        <v>46</v>
      </c>
      <c r="AC72" t="s">
        <v>47</v>
      </c>
      <c r="AD72" t="s">
        <v>319</v>
      </c>
      <c r="AE72" t="s">
        <v>320</v>
      </c>
    </row>
    <row r="73" spans="1:31" x14ac:dyDescent="0.2">
      <c r="A73" t="s">
        <v>31</v>
      </c>
      <c r="B73">
        <v>2009</v>
      </c>
      <c r="C73">
        <v>16</v>
      </c>
      <c r="D73" s="1">
        <v>39930</v>
      </c>
      <c r="E73" t="s">
        <v>290</v>
      </c>
      <c r="F73" t="s">
        <v>291</v>
      </c>
      <c r="G73" t="s">
        <v>53</v>
      </c>
      <c r="H73" t="s">
        <v>77</v>
      </c>
      <c r="I73" t="s">
        <v>77</v>
      </c>
      <c r="J73" t="s">
        <v>37</v>
      </c>
      <c r="K73">
        <v>165</v>
      </c>
      <c r="L73">
        <v>6</v>
      </c>
      <c r="M73">
        <v>169</v>
      </c>
      <c r="N73">
        <v>4</v>
      </c>
      <c r="O73" t="s">
        <v>77</v>
      </c>
      <c r="P73" t="s">
        <v>38</v>
      </c>
      <c r="Q73">
        <v>0</v>
      </c>
      <c r="R73">
        <v>6</v>
      </c>
      <c r="S73" t="s">
        <v>321</v>
      </c>
      <c r="T73" t="s">
        <v>293</v>
      </c>
      <c r="U73" t="s">
        <v>71</v>
      </c>
      <c r="V73" t="s">
        <v>294</v>
      </c>
      <c r="W73" t="s">
        <v>275</v>
      </c>
      <c r="X73" t="s">
        <v>277</v>
      </c>
      <c r="Y73" t="s">
        <v>45</v>
      </c>
      <c r="Z73">
        <v>20</v>
      </c>
      <c r="AA73">
        <v>6</v>
      </c>
      <c r="AB73" t="s">
        <v>46</v>
      </c>
      <c r="AC73" t="s">
        <v>47</v>
      </c>
      <c r="AD73" t="s">
        <v>322</v>
      </c>
      <c r="AE73" t="s">
        <v>323</v>
      </c>
    </row>
    <row r="74" spans="1:31" x14ac:dyDescent="0.2">
      <c r="A74" t="s">
        <v>31</v>
      </c>
      <c r="B74">
        <v>2009</v>
      </c>
      <c r="C74">
        <v>17</v>
      </c>
      <c r="D74" s="1">
        <v>39930</v>
      </c>
      <c r="E74" t="s">
        <v>283</v>
      </c>
      <c r="F74" t="s">
        <v>284</v>
      </c>
      <c r="G74" t="s">
        <v>36</v>
      </c>
      <c r="H74" t="s">
        <v>87</v>
      </c>
      <c r="I74" t="s">
        <v>87</v>
      </c>
      <c r="J74" t="s">
        <v>54</v>
      </c>
      <c r="K74">
        <v>95</v>
      </c>
      <c r="L74">
        <v>9</v>
      </c>
      <c r="M74">
        <v>187</v>
      </c>
      <c r="N74">
        <v>6</v>
      </c>
      <c r="O74" t="s">
        <v>87</v>
      </c>
      <c r="P74" t="s">
        <v>38</v>
      </c>
      <c r="Q74">
        <v>92</v>
      </c>
      <c r="R74">
        <v>0</v>
      </c>
      <c r="S74" t="s">
        <v>266</v>
      </c>
      <c r="T74" t="s">
        <v>274</v>
      </c>
      <c r="U74" t="s">
        <v>188</v>
      </c>
      <c r="V74" t="s">
        <v>59</v>
      </c>
      <c r="W74" t="s">
        <v>316</v>
      </c>
      <c r="X74" t="s">
        <v>287</v>
      </c>
      <c r="Y74" t="s">
        <v>45</v>
      </c>
      <c r="Z74">
        <v>20</v>
      </c>
      <c r="AA74">
        <v>6</v>
      </c>
      <c r="AB74" t="s">
        <v>46</v>
      </c>
      <c r="AC74" t="s">
        <v>47</v>
      </c>
      <c r="AD74" t="s">
        <v>324</v>
      </c>
      <c r="AE74" t="s">
        <v>325</v>
      </c>
    </row>
    <row r="75" spans="1:31" x14ac:dyDescent="0.2">
      <c r="A75" t="s">
        <v>31</v>
      </c>
      <c r="B75">
        <v>2009</v>
      </c>
      <c r="C75">
        <v>18</v>
      </c>
      <c r="D75" s="1">
        <v>39931</v>
      </c>
      <c r="E75" t="s">
        <v>326</v>
      </c>
      <c r="F75" t="s">
        <v>327</v>
      </c>
      <c r="G75" t="s">
        <v>65</v>
      </c>
      <c r="H75" t="s">
        <v>66</v>
      </c>
      <c r="I75" t="s">
        <v>65</v>
      </c>
      <c r="J75" t="s">
        <v>54</v>
      </c>
      <c r="K75">
        <v>143</v>
      </c>
      <c r="L75">
        <v>7</v>
      </c>
      <c r="M75">
        <v>147</v>
      </c>
      <c r="N75">
        <v>5</v>
      </c>
      <c r="O75" t="s">
        <v>66</v>
      </c>
      <c r="P75" t="s">
        <v>38</v>
      </c>
      <c r="Q75">
        <v>0</v>
      </c>
      <c r="R75">
        <v>5</v>
      </c>
      <c r="S75" t="s">
        <v>114</v>
      </c>
      <c r="T75" t="s">
        <v>40</v>
      </c>
      <c r="U75" t="s">
        <v>328</v>
      </c>
      <c r="V75" t="s">
        <v>42</v>
      </c>
      <c r="W75" t="s">
        <v>90</v>
      </c>
      <c r="X75" t="s">
        <v>329</v>
      </c>
      <c r="Y75" t="s">
        <v>45</v>
      </c>
      <c r="Z75">
        <v>20</v>
      </c>
      <c r="AA75">
        <v>6</v>
      </c>
      <c r="AB75" t="s">
        <v>46</v>
      </c>
      <c r="AC75" t="s">
        <v>47</v>
      </c>
      <c r="AD75" t="s">
        <v>330</v>
      </c>
      <c r="AE75" t="s">
        <v>331</v>
      </c>
    </row>
    <row r="76" spans="1:31" x14ac:dyDescent="0.2">
      <c r="A76" t="s">
        <v>31</v>
      </c>
      <c r="B76">
        <v>2009</v>
      </c>
      <c r="C76">
        <v>19</v>
      </c>
      <c r="D76" s="1">
        <v>39932</v>
      </c>
      <c r="E76" t="s">
        <v>290</v>
      </c>
      <c r="F76" t="s">
        <v>291</v>
      </c>
      <c r="G76" t="s">
        <v>35</v>
      </c>
      <c r="H76" t="s">
        <v>36</v>
      </c>
      <c r="I76" t="s">
        <v>36</v>
      </c>
      <c r="J76" t="s">
        <v>54</v>
      </c>
      <c r="K76">
        <v>143</v>
      </c>
      <c r="L76">
        <v>5</v>
      </c>
      <c r="M76">
        <v>139</v>
      </c>
      <c r="N76">
        <v>6</v>
      </c>
      <c r="O76" t="s">
        <v>35</v>
      </c>
      <c r="P76" t="s">
        <v>38</v>
      </c>
      <c r="Q76">
        <v>0</v>
      </c>
      <c r="R76">
        <v>5</v>
      </c>
      <c r="S76" t="s">
        <v>88</v>
      </c>
      <c r="T76" t="s">
        <v>293</v>
      </c>
      <c r="U76" t="s">
        <v>57</v>
      </c>
      <c r="V76" t="s">
        <v>294</v>
      </c>
      <c r="W76" t="s">
        <v>58</v>
      </c>
      <c r="X76" t="s">
        <v>301</v>
      </c>
      <c r="Y76" t="s">
        <v>45</v>
      </c>
      <c r="Z76">
        <v>20</v>
      </c>
      <c r="AA76">
        <v>6</v>
      </c>
      <c r="AB76" t="s">
        <v>46</v>
      </c>
      <c r="AC76" t="s">
        <v>47</v>
      </c>
      <c r="AD76" t="s">
        <v>332</v>
      </c>
      <c r="AE76" t="s">
        <v>333</v>
      </c>
    </row>
    <row r="77" spans="1:31" x14ac:dyDescent="0.2">
      <c r="A77" t="s">
        <v>31</v>
      </c>
      <c r="B77">
        <v>2009</v>
      </c>
      <c r="C77">
        <v>20</v>
      </c>
      <c r="D77" s="1">
        <v>39932</v>
      </c>
      <c r="E77" t="s">
        <v>290</v>
      </c>
      <c r="F77" t="s">
        <v>291</v>
      </c>
      <c r="G77" t="s">
        <v>52</v>
      </c>
      <c r="H77" t="s">
        <v>87</v>
      </c>
      <c r="I77" t="s">
        <v>52</v>
      </c>
      <c r="J77" t="s">
        <v>54</v>
      </c>
      <c r="K77">
        <v>119</v>
      </c>
      <c r="L77">
        <v>8</v>
      </c>
      <c r="M77">
        <v>116</v>
      </c>
      <c r="N77">
        <v>7</v>
      </c>
      <c r="O77" t="s">
        <v>52</v>
      </c>
      <c r="P77" t="s">
        <v>38</v>
      </c>
      <c r="Q77">
        <v>3</v>
      </c>
      <c r="R77">
        <v>0</v>
      </c>
      <c r="S77" t="s">
        <v>117</v>
      </c>
      <c r="T77" t="s">
        <v>293</v>
      </c>
      <c r="U77" t="s">
        <v>57</v>
      </c>
      <c r="V77" t="s">
        <v>58</v>
      </c>
      <c r="W77" t="s">
        <v>294</v>
      </c>
      <c r="X77" t="s">
        <v>301</v>
      </c>
      <c r="Y77" t="s">
        <v>45</v>
      </c>
      <c r="Z77">
        <v>20</v>
      </c>
      <c r="AA77">
        <v>6</v>
      </c>
      <c r="AB77" t="s">
        <v>46</v>
      </c>
      <c r="AC77" t="s">
        <v>47</v>
      </c>
      <c r="AD77" t="s">
        <v>334</v>
      </c>
      <c r="AE77" t="s">
        <v>335</v>
      </c>
    </row>
    <row r="78" spans="1:31" x14ac:dyDescent="0.2">
      <c r="A78" t="s">
        <v>31</v>
      </c>
      <c r="B78">
        <v>2009</v>
      </c>
      <c r="C78">
        <v>21</v>
      </c>
      <c r="D78" s="1">
        <v>39933</v>
      </c>
      <c r="E78" t="s">
        <v>326</v>
      </c>
      <c r="F78" t="s">
        <v>327</v>
      </c>
      <c r="G78" t="s">
        <v>77</v>
      </c>
      <c r="H78" t="s">
        <v>65</v>
      </c>
      <c r="I78" t="s">
        <v>65</v>
      </c>
      <c r="J78" t="s">
        <v>37</v>
      </c>
      <c r="K78">
        <v>148</v>
      </c>
      <c r="L78">
        <v>9</v>
      </c>
      <c r="M78">
        <v>150</v>
      </c>
      <c r="N78">
        <v>4</v>
      </c>
      <c r="O78" t="s">
        <v>65</v>
      </c>
      <c r="P78" t="s">
        <v>38</v>
      </c>
      <c r="Q78">
        <v>0</v>
      </c>
      <c r="R78">
        <v>6</v>
      </c>
      <c r="S78" t="s">
        <v>336</v>
      </c>
      <c r="T78" t="s">
        <v>68</v>
      </c>
      <c r="U78" t="s">
        <v>328</v>
      </c>
      <c r="V78" t="s">
        <v>43</v>
      </c>
      <c r="W78" t="s">
        <v>42</v>
      </c>
      <c r="X78" t="s">
        <v>329</v>
      </c>
      <c r="Y78" t="s">
        <v>45</v>
      </c>
      <c r="Z78">
        <v>20</v>
      </c>
      <c r="AA78">
        <v>6</v>
      </c>
      <c r="AB78" t="s">
        <v>46</v>
      </c>
      <c r="AC78" t="s">
        <v>47</v>
      </c>
      <c r="AD78" t="s">
        <v>337</v>
      </c>
      <c r="AE78" t="s">
        <v>338</v>
      </c>
    </row>
    <row r="79" spans="1:31" x14ac:dyDescent="0.2">
      <c r="A79" t="s">
        <v>31</v>
      </c>
      <c r="B79">
        <v>2009</v>
      </c>
      <c r="C79">
        <v>22</v>
      </c>
      <c r="D79" s="1">
        <v>39933</v>
      </c>
      <c r="E79" t="s">
        <v>326</v>
      </c>
      <c r="F79" t="s">
        <v>327</v>
      </c>
      <c r="G79" t="s">
        <v>53</v>
      </c>
      <c r="H79" t="s">
        <v>66</v>
      </c>
      <c r="I79" t="s">
        <v>66</v>
      </c>
      <c r="J79" t="s">
        <v>37</v>
      </c>
      <c r="K79">
        <v>164</v>
      </c>
      <c r="L79">
        <v>5</v>
      </c>
      <c r="M79">
        <v>126</v>
      </c>
      <c r="N79">
        <v>9</v>
      </c>
      <c r="O79" t="s">
        <v>53</v>
      </c>
      <c r="P79" t="s">
        <v>38</v>
      </c>
      <c r="Q79">
        <v>38</v>
      </c>
      <c r="R79">
        <v>0</v>
      </c>
      <c r="S79" t="s">
        <v>248</v>
      </c>
      <c r="T79" t="s">
        <v>68</v>
      </c>
      <c r="U79" t="s">
        <v>328</v>
      </c>
      <c r="V79" t="s">
        <v>42</v>
      </c>
      <c r="W79" t="s">
        <v>43</v>
      </c>
      <c r="X79" t="s">
        <v>329</v>
      </c>
      <c r="Y79" t="s">
        <v>45</v>
      </c>
      <c r="Z79">
        <v>20</v>
      </c>
      <c r="AA79">
        <v>6</v>
      </c>
      <c r="AB79" t="s">
        <v>46</v>
      </c>
      <c r="AC79" t="s">
        <v>47</v>
      </c>
      <c r="AD79" t="s">
        <v>339</v>
      </c>
      <c r="AE79" t="s">
        <v>340</v>
      </c>
    </row>
    <row r="80" spans="1:31" x14ac:dyDescent="0.2">
      <c r="A80" t="s">
        <v>31</v>
      </c>
      <c r="B80">
        <v>2009</v>
      </c>
      <c r="C80">
        <v>23</v>
      </c>
      <c r="D80" s="1">
        <v>39934</v>
      </c>
      <c r="E80" t="s">
        <v>341</v>
      </c>
      <c r="F80" t="s">
        <v>342</v>
      </c>
      <c r="G80" t="s">
        <v>36</v>
      </c>
      <c r="H80" t="s">
        <v>87</v>
      </c>
      <c r="I80" t="s">
        <v>87</v>
      </c>
      <c r="J80" t="s">
        <v>54</v>
      </c>
      <c r="K80">
        <v>139</v>
      </c>
      <c r="L80">
        <v>6</v>
      </c>
      <c r="M80">
        <v>148</v>
      </c>
      <c r="N80">
        <v>6</v>
      </c>
      <c r="O80" t="s">
        <v>87</v>
      </c>
      <c r="P80" t="s">
        <v>38</v>
      </c>
      <c r="Q80">
        <v>9</v>
      </c>
      <c r="R80">
        <v>0</v>
      </c>
      <c r="S80" t="s">
        <v>343</v>
      </c>
      <c r="T80" t="s">
        <v>274</v>
      </c>
      <c r="U80" t="s">
        <v>297</v>
      </c>
      <c r="V80" t="s">
        <v>124</v>
      </c>
      <c r="W80" t="s">
        <v>137</v>
      </c>
      <c r="X80" t="s">
        <v>287</v>
      </c>
      <c r="Y80" t="s">
        <v>45</v>
      </c>
      <c r="Z80">
        <v>20</v>
      </c>
      <c r="AA80">
        <v>6</v>
      </c>
      <c r="AB80" t="s">
        <v>46</v>
      </c>
      <c r="AC80" t="s">
        <v>47</v>
      </c>
      <c r="AD80" t="s">
        <v>344</v>
      </c>
      <c r="AE80" t="s">
        <v>345</v>
      </c>
    </row>
    <row r="81" spans="1:31" x14ac:dyDescent="0.2">
      <c r="A81" t="s">
        <v>31</v>
      </c>
      <c r="B81">
        <v>2009</v>
      </c>
      <c r="C81">
        <v>24</v>
      </c>
      <c r="D81" s="1">
        <v>39934</v>
      </c>
      <c r="E81" t="s">
        <v>290</v>
      </c>
      <c r="F81" t="s">
        <v>291</v>
      </c>
      <c r="G81" t="s">
        <v>35</v>
      </c>
      <c r="H81" t="s">
        <v>52</v>
      </c>
      <c r="I81" t="s">
        <v>35</v>
      </c>
      <c r="J81" t="s">
        <v>54</v>
      </c>
      <c r="K81">
        <v>145</v>
      </c>
      <c r="L81">
        <v>9</v>
      </c>
      <c r="M81">
        <v>137</v>
      </c>
      <c r="N81">
        <v>7</v>
      </c>
      <c r="O81" t="s">
        <v>35</v>
      </c>
      <c r="P81" t="s">
        <v>38</v>
      </c>
      <c r="Q81">
        <v>8</v>
      </c>
      <c r="R81">
        <v>0</v>
      </c>
      <c r="S81" t="s">
        <v>346</v>
      </c>
      <c r="T81" t="s">
        <v>293</v>
      </c>
      <c r="U81" t="s">
        <v>312</v>
      </c>
      <c r="V81" t="s">
        <v>111</v>
      </c>
      <c r="W81" t="s">
        <v>286</v>
      </c>
      <c r="X81" t="s">
        <v>267</v>
      </c>
      <c r="Y81" t="s">
        <v>45</v>
      </c>
      <c r="Z81">
        <v>20</v>
      </c>
      <c r="AA81">
        <v>6</v>
      </c>
      <c r="AB81" t="s">
        <v>46</v>
      </c>
      <c r="AC81" t="s">
        <v>47</v>
      </c>
      <c r="AD81" t="s">
        <v>347</v>
      </c>
      <c r="AE81" t="s">
        <v>348</v>
      </c>
    </row>
    <row r="82" spans="1:31" x14ac:dyDescent="0.2">
      <c r="A82" t="s">
        <v>31</v>
      </c>
      <c r="B82">
        <v>2009</v>
      </c>
      <c r="C82">
        <v>25</v>
      </c>
      <c r="D82" s="1">
        <v>39935</v>
      </c>
      <c r="E82" t="s">
        <v>283</v>
      </c>
      <c r="F82" t="s">
        <v>284</v>
      </c>
      <c r="G82" t="s">
        <v>77</v>
      </c>
      <c r="H82" t="s">
        <v>66</v>
      </c>
      <c r="I82" t="s">
        <v>77</v>
      </c>
      <c r="J82" t="s">
        <v>54</v>
      </c>
      <c r="K82">
        <v>141</v>
      </c>
      <c r="L82">
        <v>5</v>
      </c>
      <c r="M82">
        <v>142</v>
      </c>
      <c r="N82">
        <v>7</v>
      </c>
      <c r="O82" t="s">
        <v>66</v>
      </c>
      <c r="P82" t="s">
        <v>38</v>
      </c>
      <c r="Q82">
        <v>0</v>
      </c>
      <c r="R82">
        <v>3</v>
      </c>
      <c r="S82" t="s">
        <v>114</v>
      </c>
      <c r="T82" t="s">
        <v>56</v>
      </c>
      <c r="U82" t="s">
        <v>316</v>
      </c>
      <c r="V82" t="s">
        <v>188</v>
      </c>
      <c r="W82" t="s">
        <v>57</v>
      </c>
      <c r="X82" t="s">
        <v>287</v>
      </c>
      <c r="Y82" t="s">
        <v>45</v>
      </c>
      <c r="Z82">
        <v>20</v>
      </c>
      <c r="AA82">
        <v>6</v>
      </c>
      <c r="AB82" t="s">
        <v>46</v>
      </c>
      <c r="AC82" t="s">
        <v>47</v>
      </c>
      <c r="AD82" t="s">
        <v>349</v>
      </c>
      <c r="AE82" t="s">
        <v>350</v>
      </c>
    </row>
    <row r="83" spans="1:31" x14ac:dyDescent="0.2">
      <c r="A83" t="s">
        <v>31</v>
      </c>
      <c r="B83">
        <v>2009</v>
      </c>
      <c r="C83">
        <v>26</v>
      </c>
      <c r="D83" s="1">
        <v>39935</v>
      </c>
      <c r="E83" t="s">
        <v>351</v>
      </c>
      <c r="F83" t="s">
        <v>352</v>
      </c>
      <c r="G83" t="s">
        <v>53</v>
      </c>
      <c r="H83" t="s">
        <v>65</v>
      </c>
      <c r="I83" t="s">
        <v>65</v>
      </c>
      <c r="J83" t="s">
        <v>37</v>
      </c>
      <c r="K83">
        <v>163</v>
      </c>
      <c r="L83">
        <v>10</v>
      </c>
      <c r="M83">
        <v>145</v>
      </c>
      <c r="N83">
        <v>8</v>
      </c>
      <c r="O83" t="s">
        <v>53</v>
      </c>
      <c r="P83" t="s">
        <v>38</v>
      </c>
      <c r="Q83">
        <v>18</v>
      </c>
      <c r="R83">
        <v>0</v>
      </c>
      <c r="S83" t="s">
        <v>353</v>
      </c>
      <c r="T83" t="s">
        <v>68</v>
      </c>
      <c r="U83" t="s">
        <v>90</v>
      </c>
      <c r="V83" t="s">
        <v>42</v>
      </c>
      <c r="W83" t="s">
        <v>354</v>
      </c>
      <c r="X83" t="s">
        <v>355</v>
      </c>
      <c r="Y83" t="s">
        <v>45</v>
      </c>
      <c r="Z83">
        <v>20</v>
      </c>
      <c r="AA83">
        <v>6</v>
      </c>
      <c r="AB83" t="s">
        <v>46</v>
      </c>
      <c r="AC83" t="s">
        <v>47</v>
      </c>
      <c r="AD83" t="s">
        <v>356</v>
      </c>
      <c r="AE83" t="s">
        <v>357</v>
      </c>
    </row>
    <row r="84" spans="1:31" x14ac:dyDescent="0.2">
      <c r="A84" t="s">
        <v>31</v>
      </c>
      <c r="B84">
        <v>2009</v>
      </c>
      <c r="C84">
        <v>27</v>
      </c>
      <c r="D84" s="1">
        <v>39936</v>
      </c>
      <c r="E84" t="s">
        <v>283</v>
      </c>
      <c r="F84" t="s">
        <v>284</v>
      </c>
      <c r="G84" t="s">
        <v>52</v>
      </c>
      <c r="H84" t="s">
        <v>36</v>
      </c>
      <c r="I84" t="s">
        <v>36</v>
      </c>
      <c r="J84" t="s">
        <v>54</v>
      </c>
      <c r="K84">
        <v>154</v>
      </c>
      <c r="L84">
        <v>4</v>
      </c>
      <c r="M84">
        <v>153</v>
      </c>
      <c r="N84">
        <v>3</v>
      </c>
      <c r="O84" t="s">
        <v>52</v>
      </c>
      <c r="P84" t="s">
        <v>38</v>
      </c>
      <c r="Q84">
        <v>0</v>
      </c>
      <c r="R84">
        <v>6</v>
      </c>
      <c r="S84" t="s">
        <v>212</v>
      </c>
      <c r="T84" t="s">
        <v>56</v>
      </c>
      <c r="U84" t="s">
        <v>316</v>
      </c>
      <c r="V84" t="s">
        <v>57</v>
      </c>
      <c r="W84" t="s">
        <v>188</v>
      </c>
      <c r="X84" t="s">
        <v>287</v>
      </c>
      <c r="Y84" t="s">
        <v>45</v>
      </c>
      <c r="Z84">
        <v>20</v>
      </c>
      <c r="AA84">
        <v>6</v>
      </c>
      <c r="AB84" t="s">
        <v>46</v>
      </c>
      <c r="AC84" t="s">
        <v>47</v>
      </c>
      <c r="AD84" t="s">
        <v>358</v>
      </c>
      <c r="AE84" t="s">
        <v>333</v>
      </c>
    </row>
    <row r="85" spans="1:31" x14ac:dyDescent="0.2">
      <c r="A85" t="s">
        <v>31</v>
      </c>
      <c r="B85">
        <v>2009</v>
      </c>
      <c r="C85">
        <v>28</v>
      </c>
      <c r="D85" s="1">
        <v>39936</v>
      </c>
      <c r="E85" t="s">
        <v>351</v>
      </c>
      <c r="F85" t="s">
        <v>352</v>
      </c>
      <c r="G85" t="s">
        <v>35</v>
      </c>
      <c r="H85" t="s">
        <v>87</v>
      </c>
      <c r="I85" t="s">
        <v>87</v>
      </c>
      <c r="J85" t="s">
        <v>54</v>
      </c>
      <c r="K85">
        <v>150</v>
      </c>
      <c r="L85">
        <v>1</v>
      </c>
      <c r="M85">
        <v>149</v>
      </c>
      <c r="N85">
        <v>4</v>
      </c>
      <c r="O85" t="s">
        <v>35</v>
      </c>
      <c r="P85" t="s">
        <v>38</v>
      </c>
      <c r="Q85">
        <v>0</v>
      </c>
      <c r="R85">
        <v>9</v>
      </c>
      <c r="S85" t="s">
        <v>359</v>
      </c>
      <c r="T85" t="s">
        <v>68</v>
      </c>
      <c r="U85" t="s">
        <v>42</v>
      </c>
      <c r="V85" t="s">
        <v>294</v>
      </c>
      <c r="W85" t="s">
        <v>81</v>
      </c>
      <c r="X85" t="s">
        <v>301</v>
      </c>
      <c r="Y85" t="s">
        <v>45</v>
      </c>
      <c r="Z85">
        <v>20</v>
      </c>
      <c r="AA85">
        <v>6</v>
      </c>
      <c r="AB85" t="s">
        <v>46</v>
      </c>
      <c r="AC85" t="s">
        <v>47</v>
      </c>
      <c r="AD85" t="s">
        <v>360</v>
      </c>
      <c r="AE85" t="s">
        <v>361</v>
      </c>
    </row>
    <row r="86" spans="1:31" x14ac:dyDescent="0.2">
      <c r="A86" t="s">
        <v>31</v>
      </c>
      <c r="B86">
        <v>2009</v>
      </c>
      <c r="C86">
        <v>29</v>
      </c>
      <c r="D86" s="1">
        <v>39937</v>
      </c>
      <c r="E86" t="s">
        <v>341</v>
      </c>
      <c r="F86" t="s">
        <v>342</v>
      </c>
      <c r="G86" t="s">
        <v>53</v>
      </c>
      <c r="H86" t="s">
        <v>77</v>
      </c>
      <c r="I86" t="s">
        <v>53</v>
      </c>
      <c r="J86" t="s">
        <v>54</v>
      </c>
      <c r="K86">
        <v>178</v>
      </c>
      <c r="L86">
        <v>3</v>
      </c>
      <c r="M86">
        <v>100</v>
      </c>
      <c r="N86">
        <v>10</v>
      </c>
      <c r="O86" t="s">
        <v>53</v>
      </c>
      <c r="P86" t="s">
        <v>38</v>
      </c>
      <c r="Q86">
        <v>78</v>
      </c>
      <c r="R86">
        <v>0</v>
      </c>
      <c r="S86" t="s">
        <v>136</v>
      </c>
      <c r="T86" t="s">
        <v>274</v>
      </c>
      <c r="U86" t="s">
        <v>137</v>
      </c>
      <c r="V86" t="s">
        <v>297</v>
      </c>
      <c r="W86" t="s">
        <v>124</v>
      </c>
      <c r="X86" t="s">
        <v>287</v>
      </c>
      <c r="Y86" t="s">
        <v>45</v>
      </c>
      <c r="Z86">
        <v>20</v>
      </c>
      <c r="AA86">
        <v>6</v>
      </c>
      <c r="AB86" t="s">
        <v>46</v>
      </c>
      <c r="AC86" t="s">
        <v>47</v>
      </c>
      <c r="AD86" t="s">
        <v>362</v>
      </c>
      <c r="AE86" t="s">
        <v>363</v>
      </c>
    </row>
    <row r="87" spans="1:31" x14ac:dyDescent="0.2">
      <c r="A87" t="s">
        <v>31</v>
      </c>
      <c r="B87">
        <v>2009</v>
      </c>
      <c r="C87">
        <v>30</v>
      </c>
      <c r="D87" s="1">
        <v>39938</v>
      </c>
      <c r="E87" t="s">
        <v>290</v>
      </c>
      <c r="F87" t="s">
        <v>291</v>
      </c>
      <c r="G87" t="s">
        <v>52</v>
      </c>
      <c r="H87" t="s">
        <v>66</v>
      </c>
      <c r="I87" t="s">
        <v>52</v>
      </c>
      <c r="J87" t="s">
        <v>37</v>
      </c>
      <c r="K87">
        <v>133</v>
      </c>
      <c r="L87">
        <v>8</v>
      </c>
      <c r="M87">
        <v>211</v>
      </c>
      <c r="N87">
        <v>4</v>
      </c>
      <c r="O87" t="s">
        <v>66</v>
      </c>
      <c r="P87" t="s">
        <v>38</v>
      </c>
      <c r="Q87">
        <v>78</v>
      </c>
      <c r="R87">
        <v>0</v>
      </c>
      <c r="S87" t="s">
        <v>209</v>
      </c>
      <c r="T87" t="s">
        <v>40</v>
      </c>
      <c r="U87" t="s">
        <v>354</v>
      </c>
      <c r="V87" t="s">
        <v>71</v>
      </c>
      <c r="W87" t="s">
        <v>328</v>
      </c>
      <c r="X87" t="s">
        <v>355</v>
      </c>
      <c r="Y87" t="s">
        <v>45</v>
      </c>
      <c r="Z87">
        <v>20</v>
      </c>
      <c r="AA87">
        <v>6</v>
      </c>
      <c r="AB87" t="s">
        <v>46</v>
      </c>
      <c r="AC87" t="s">
        <v>47</v>
      </c>
      <c r="AD87" t="s">
        <v>364</v>
      </c>
      <c r="AE87" t="s">
        <v>365</v>
      </c>
    </row>
    <row r="88" spans="1:31" x14ac:dyDescent="0.2">
      <c r="A88" t="s">
        <v>31</v>
      </c>
      <c r="B88">
        <v>2009</v>
      </c>
      <c r="C88">
        <v>31</v>
      </c>
      <c r="D88" s="1">
        <v>39938</v>
      </c>
      <c r="E88" t="s">
        <v>290</v>
      </c>
      <c r="F88" t="s">
        <v>291</v>
      </c>
      <c r="G88" t="s">
        <v>65</v>
      </c>
      <c r="H88" t="s">
        <v>36</v>
      </c>
      <c r="I88" t="s">
        <v>36</v>
      </c>
      <c r="J88" t="s">
        <v>54</v>
      </c>
      <c r="K88">
        <v>157</v>
      </c>
      <c r="L88">
        <v>1</v>
      </c>
      <c r="M88">
        <v>154</v>
      </c>
      <c r="N88">
        <v>3</v>
      </c>
      <c r="O88" t="s">
        <v>65</v>
      </c>
      <c r="P88" t="s">
        <v>38</v>
      </c>
      <c r="Q88">
        <v>0</v>
      </c>
      <c r="R88">
        <v>9</v>
      </c>
      <c r="S88" t="s">
        <v>366</v>
      </c>
      <c r="T88" t="s">
        <v>40</v>
      </c>
      <c r="U88" t="s">
        <v>328</v>
      </c>
      <c r="V88" t="s">
        <v>71</v>
      </c>
      <c r="W88" t="s">
        <v>111</v>
      </c>
      <c r="X88" t="s">
        <v>355</v>
      </c>
      <c r="Y88" t="s">
        <v>45</v>
      </c>
      <c r="Z88">
        <v>20</v>
      </c>
      <c r="AA88">
        <v>6</v>
      </c>
      <c r="AB88" t="s">
        <v>46</v>
      </c>
      <c r="AC88" t="s">
        <v>47</v>
      </c>
      <c r="AD88" t="s">
        <v>367</v>
      </c>
      <c r="AE88" t="s">
        <v>368</v>
      </c>
    </row>
    <row r="89" spans="1:31" x14ac:dyDescent="0.2">
      <c r="A89" t="s">
        <v>31</v>
      </c>
      <c r="B89">
        <v>2009</v>
      </c>
      <c r="C89">
        <v>32</v>
      </c>
      <c r="D89" s="1">
        <v>39939</v>
      </c>
      <c r="E89" t="s">
        <v>326</v>
      </c>
      <c r="F89" t="s">
        <v>327</v>
      </c>
      <c r="G89" t="s">
        <v>77</v>
      </c>
      <c r="H89" t="s">
        <v>87</v>
      </c>
      <c r="I89" t="s">
        <v>77</v>
      </c>
      <c r="J89" t="s">
        <v>54</v>
      </c>
      <c r="K89">
        <v>145</v>
      </c>
      <c r="L89">
        <v>6</v>
      </c>
      <c r="M89">
        <v>126</v>
      </c>
      <c r="N89">
        <v>8</v>
      </c>
      <c r="O89" t="s">
        <v>77</v>
      </c>
      <c r="P89" t="s">
        <v>38</v>
      </c>
      <c r="Q89">
        <v>19</v>
      </c>
      <c r="R89">
        <v>0</v>
      </c>
      <c r="S89" t="s">
        <v>369</v>
      </c>
      <c r="T89" t="s">
        <v>68</v>
      </c>
      <c r="U89" t="s">
        <v>57</v>
      </c>
      <c r="V89" t="s">
        <v>312</v>
      </c>
      <c r="W89" t="s">
        <v>81</v>
      </c>
      <c r="X89" t="s">
        <v>329</v>
      </c>
      <c r="Y89" t="s">
        <v>45</v>
      </c>
      <c r="Z89">
        <v>20</v>
      </c>
      <c r="AA89">
        <v>6</v>
      </c>
      <c r="AB89" t="s">
        <v>46</v>
      </c>
      <c r="AC89" t="s">
        <v>47</v>
      </c>
      <c r="AD89" t="s">
        <v>370</v>
      </c>
      <c r="AE89" t="s">
        <v>371</v>
      </c>
    </row>
    <row r="90" spans="1:31" x14ac:dyDescent="0.2">
      <c r="A90" t="s">
        <v>31</v>
      </c>
      <c r="B90">
        <v>2009</v>
      </c>
      <c r="C90">
        <v>33</v>
      </c>
      <c r="D90" s="1">
        <v>39940</v>
      </c>
      <c r="E90" t="s">
        <v>326</v>
      </c>
      <c r="F90" t="s">
        <v>327</v>
      </c>
      <c r="G90" t="s">
        <v>35</v>
      </c>
      <c r="H90" t="s">
        <v>66</v>
      </c>
      <c r="I90" t="s">
        <v>66</v>
      </c>
      <c r="J90" t="s">
        <v>37</v>
      </c>
      <c r="K90">
        <v>105</v>
      </c>
      <c r="L90">
        <v>10</v>
      </c>
      <c r="M90">
        <v>107</v>
      </c>
      <c r="N90">
        <v>3</v>
      </c>
      <c r="O90" t="s">
        <v>66</v>
      </c>
      <c r="P90" t="s">
        <v>38</v>
      </c>
      <c r="Q90">
        <v>0</v>
      </c>
      <c r="R90">
        <v>7</v>
      </c>
      <c r="S90" t="s">
        <v>372</v>
      </c>
      <c r="T90" t="s">
        <v>56</v>
      </c>
      <c r="U90" t="s">
        <v>81</v>
      </c>
      <c r="V90" t="s">
        <v>90</v>
      </c>
      <c r="W90" t="s">
        <v>294</v>
      </c>
      <c r="X90" t="s">
        <v>329</v>
      </c>
      <c r="Y90" t="s">
        <v>45</v>
      </c>
      <c r="Z90">
        <v>20</v>
      </c>
      <c r="AA90">
        <v>6</v>
      </c>
      <c r="AB90" t="s">
        <v>46</v>
      </c>
      <c r="AC90" t="s">
        <v>47</v>
      </c>
      <c r="AD90" t="s">
        <v>360</v>
      </c>
      <c r="AE90" t="s">
        <v>373</v>
      </c>
    </row>
    <row r="91" spans="1:31" x14ac:dyDescent="0.2">
      <c r="A91" t="s">
        <v>31</v>
      </c>
      <c r="B91">
        <v>2009</v>
      </c>
      <c r="C91">
        <v>34</v>
      </c>
      <c r="D91" s="1">
        <v>39940</v>
      </c>
      <c r="E91" t="s">
        <v>326</v>
      </c>
      <c r="F91" t="s">
        <v>327</v>
      </c>
      <c r="G91" t="s">
        <v>53</v>
      </c>
      <c r="H91" t="s">
        <v>52</v>
      </c>
      <c r="I91" t="s">
        <v>53</v>
      </c>
      <c r="J91" t="s">
        <v>54</v>
      </c>
      <c r="K91">
        <v>185</v>
      </c>
      <c r="L91">
        <v>3</v>
      </c>
      <c r="M91">
        <v>174</v>
      </c>
      <c r="N91">
        <v>3</v>
      </c>
      <c r="O91" t="s">
        <v>53</v>
      </c>
      <c r="P91" t="s">
        <v>38</v>
      </c>
      <c r="Q91">
        <v>12</v>
      </c>
      <c r="R91">
        <v>0</v>
      </c>
      <c r="S91" t="s">
        <v>110</v>
      </c>
      <c r="T91" t="s">
        <v>56</v>
      </c>
      <c r="U91" t="s">
        <v>90</v>
      </c>
      <c r="V91" t="s">
        <v>294</v>
      </c>
      <c r="W91" t="s">
        <v>81</v>
      </c>
      <c r="X91" t="s">
        <v>329</v>
      </c>
      <c r="Y91" t="s">
        <v>45</v>
      </c>
      <c r="Z91">
        <v>20</v>
      </c>
      <c r="AA91">
        <v>6</v>
      </c>
      <c r="AB91" t="s">
        <v>46</v>
      </c>
      <c r="AC91" t="s">
        <v>47</v>
      </c>
      <c r="AD91" t="s">
        <v>374</v>
      </c>
      <c r="AE91" t="s">
        <v>375</v>
      </c>
    </row>
    <row r="92" spans="1:31" x14ac:dyDescent="0.2">
      <c r="A92" t="s">
        <v>31</v>
      </c>
      <c r="B92">
        <v>2009</v>
      </c>
      <c r="C92">
        <v>35</v>
      </c>
      <c r="D92" s="1">
        <v>39941</v>
      </c>
      <c r="E92" t="s">
        <v>341</v>
      </c>
      <c r="F92" t="s">
        <v>342</v>
      </c>
      <c r="G92" t="s">
        <v>65</v>
      </c>
      <c r="H92" t="s">
        <v>87</v>
      </c>
      <c r="I92" t="s">
        <v>87</v>
      </c>
      <c r="J92" t="s">
        <v>54</v>
      </c>
      <c r="K92">
        <v>118</v>
      </c>
      <c r="L92">
        <v>3</v>
      </c>
      <c r="M92">
        <v>116</v>
      </c>
      <c r="N92">
        <v>10</v>
      </c>
      <c r="O92" t="s">
        <v>65</v>
      </c>
      <c r="P92" t="s">
        <v>38</v>
      </c>
      <c r="Q92">
        <v>0</v>
      </c>
      <c r="R92">
        <v>7</v>
      </c>
      <c r="S92" t="s">
        <v>177</v>
      </c>
      <c r="T92" t="s">
        <v>274</v>
      </c>
      <c r="U92" t="s">
        <v>297</v>
      </c>
      <c r="V92" t="s">
        <v>124</v>
      </c>
      <c r="W92" t="s">
        <v>188</v>
      </c>
      <c r="X92" t="s">
        <v>287</v>
      </c>
      <c r="Y92" t="s">
        <v>45</v>
      </c>
      <c r="Z92">
        <v>20</v>
      </c>
      <c r="AA92">
        <v>6</v>
      </c>
      <c r="AB92" t="s">
        <v>46</v>
      </c>
      <c r="AC92" t="s">
        <v>47</v>
      </c>
      <c r="AD92" t="s">
        <v>367</v>
      </c>
      <c r="AE92" t="s">
        <v>376</v>
      </c>
    </row>
    <row r="93" spans="1:31" x14ac:dyDescent="0.2">
      <c r="A93" t="s">
        <v>31</v>
      </c>
      <c r="B93">
        <v>2009</v>
      </c>
      <c r="C93">
        <v>36</v>
      </c>
      <c r="D93" s="1">
        <v>39942</v>
      </c>
      <c r="E93" t="s">
        <v>377</v>
      </c>
      <c r="F93" t="s">
        <v>378</v>
      </c>
      <c r="G93" t="s">
        <v>77</v>
      </c>
      <c r="H93" t="s">
        <v>52</v>
      </c>
      <c r="I93" t="s">
        <v>52</v>
      </c>
      <c r="J93" t="s">
        <v>37</v>
      </c>
      <c r="K93">
        <v>168</v>
      </c>
      <c r="L93">
        <v>5</v>
      </c>
      <c r="M93">
        <v>169</v>
      </c>
      <c r="N93">
        <v>7</v>
      </c>
      <c r="O93" t="s">
        <v>52</v>
      </c>
      <c r="P93" t="s">
        <v>38</v>
      </c>
      <c r="Q93">
        <v>0</v>
      </c>
      <c r="R93">
        <v>3</v>
      </c>
      <c r="S93" t="s">
        <v>212</v>
      </c>
      <c r="T93" t="s">
        <v>40</v>
      </c>
      <c r="U93" t="s">
        <v>328</v>
      </c>
      <c r="V93" t="s">
        <v>43</v>
      </c>
      <c r="W93" t="s">
        <v>312</v>
      </c>
      <c r="X93" t="s">
        <v>355</v>
      </c>
      <c r="Y93" t="s">
        <v>45</v>
      </c>
      <c r="Z93">
        <v>20</v>
      </c>
      <c r="AA93">
        <v>6</v>
      </c>
      <c r="AB93" t="s">
        <v>46</v>
      </c>
      <c r="AC93" t="s">
        <v>47</v>
      </c>
      <c r="AD93" t="s">
        <v>379</v>
      </c>
      <c r="AE93" t="s">
        <v>380</v>
      </c>
    </row>
    <row r="94" spans="1:31" x14ac:dyDescent="0.2">
      <c r="A94" t="s">
        <v>31</v>
      </c>
      <c r="B94">
        <v>2009</v>
      </c>
      <c r="C94">
        <v>37</v>
      </c>
      <c r="D94" s="1">
        <v>39942</v>
      </c>
      <c r="E94" t="s">
        <v>377</v>
      </c>
      <c r="F94" t="s">
        <v>378</v>
      </c>
      <c r="G94" t="s">
        <v>53</v>
      </c>
      <c r="H94" t="s">
        <v>66</v>
      </c>
      <c r="I94" t="s">
        <v>66</v>
      </c>
      <c r="J94" t="s">
        <v>54</v>
      </c>
      <c r="K94">
        <v>141</v>
      </c>
      <c r="L94">
        <v>3</v>
      </c>
      <c r="M94">
        <v>140</v>
      </c>
      <c r="N94">
        <v>7</v>
      </c>
      <c r="O94" t="s">
        <v>53</v>
      </c>
      <c r="P94" t="s">
        <v>38</v>
      </c>
      <c r="Q94">
        <v>0</v>
      </c>
      <c r="R94">
        <v>7</v>
      </c>
      <c r="S94" t="s">
        <v>381</v>
      </c>
      <c r="T94" t="s">
        <v>40</v>
      </c>
      <c r="U94" t="s">
        <v>328</v>
      </c>
      <c r="V94" t="s">
        <v>312</v>
      </c>
      <c r="W94" t="s">
        <v>43</v>
      </c>
      <c r="X94" t="s">
        <v>355</v>
      </c>
      <c r="Y94" t="s">
        <v>45</v>
      </c>
      <c r="Z94">
        <v>20</v>
      </c>
      <c r="AA94">
        <v>6</v>
      </c>
      <c r="AB94" t="s">
        <v>46</v>
      </c>
      <c r="AC94" t="s">
        <v>47</v>
      </c>
      <c r="AD94" t="s">
        <v>382</v>
      </c>
      <c r="AE94" t="s">
        <v>383</v>
      </c>
    </row>
    <row r="95" spans="1:31" x14ac:dyDescent="0.2">
      <c r="A95" t="s">
        <v>31</v>
      </c>
      <c r="B95">
        <v>2009</v>
      </c>
      <c r="C95">
        <v>38</v>
      </c>
      <c r="D95" s="1">
        <v>39943</v>
      </c>
      <c r="E95" t="s">
        <v>283</v>
      </c>
      <c r="F95" t="s">
        <v>284</v>
      </c>
      <c r="G95" t="s">
        <v>35</v>
      </c>
      <c r="H95" t="s">
        <v>87</v>
      </c>
      <c r="I95" t="s">
        <v>87</v>
      </c>
      <c r="J95" t="s">
        <v>54</v>
      </c>
      <c r="K95">
        <v>141</v>
      </c>
      <c r="L95">
        <v>7</v>
      </c>
      <c r="M95">
        <v>157</v>
      </c>
      <c r="N95">
        <v>2</v>
      </c>
      <c r="O95" t="s">
        <v>87</v>
      </c>
      <c r="P95" t="s">
        <v>38</v>
      </c>
      <c r="Q95">
        <v>16</v>
      </c>
      <c r="R95">
        <v>0</v>
      </c>
      <c r="S95" t="s">
        <v>343</v>
      </c>
      <c r="T95" t="s">
        <v>274</v>
      </c>
      <c r="U95" t="s">
        <v>137</v>
      </c>
      <c r="V95" t="s">
        <v>188</v>
      </c>
      <c r="W95" t="s">
        <v>71</v>
      </c>
      <c r="X95" t="s">
        <v>287</v>
      </c>
      <c r="Y95" t="s">
        <v>45</v>
      </c>
      <c r="Z95">
        <v>20</v>
      </c>
      <c r="AA95">
        <v>6</v>
      </c>
      <c r="AB95" t="s">
        <v>46</v>
      </c>
      <c r="AC95" t="s">
        <v>47</v>
      </c>
      <c r="AD95" t="s">
        <v>384</v>
      </c>
      <c r="AE95" t="s">
        <v>385</v>
      </c>
    </row>
    <row r="96" spans="1:31" x14ac:dyDescent="0.2">
      <c r="A96" t="s">
        <v>31</v>
      </c>
      <c r="B96">
        <v>2009</v>
      </c>
      <c r="C96">
        <v>39</v>
      </c>
      <c r="D96" s="1">
        <v>39943</v>
      </c>
      <c r="E96" t="s">
        <v>351</v>
      </c>
      <c r="F96" t="s">
        <v>352</v>
      </c>
      <c r="G96" t="s">
        <v>65</v>
      </c>
      <c r="H96" t="s">
        <v>36</v>
      </c>
      <c r="I96" t="s">
        <v>65</v>
      </c>
      <c r="J96" t="s">
        <v>37</v>
      </c>
      <c r="K96">
        <v>125</v>
      </c>
      <c r="L96">
        <v>3</v>
      </c>
      <c r="M96">
        <v>123</v>
      </c>
      <c r="N96">
        <v>8</v>
      </c>
      <c r="O96" t="s">
        <v>65</v>
      </c>
      <c r="P96" t="s">
        <v>38</v>
      </c>
      <c r="Q96">
        <v>0</v>
      </c>
      <c r="R96">
        <v>7</v>
      </c>
      <c r="S96" t="s">
        <v>204</v>
      </c>
      <c r="T96" t="s">
        <v>56</v>
      </c>
      <c r="U96" t="s">
        <v>58</v>
      </c>
      <c r="V96" t="s">
        <v>59</v>
      </c>
      <c r="W96" t="s">
        <v>111</v>
      </c>
      <c r="X96" t="s">
        <v>301</v>
      </c>
      <c r="Y96" t="s">
        <v>45</v>
      </c>
      <c r="Z96">
        <v>20</v>
      </c>
      <c r="AA96">
        <v>6</v>
      </c>
      <c r="AB96" t="s">
        <v>46</v>
      </c>
      <c r="AC96" t="s">
        <v>47</v>
      </c>
      <c r="AD96" t="s">
        <v>386</v>
      </c>
      <c r="AE96" t="s">
        <v>387</v>
      </c>
    </row>
    <row r="97" spans="1:31" x14ac:dyDescent="0.2">
      <c r="A97" t="s">
        <v>31</v>
      </c>
      <c r="B97">
        <v>2009</v>
      </c>
      <c r="C97">
        <v>40</v>
      </c>
      <c r="D97" s="1">
        <v>39944</v>
      </c>
      <c r="E97" t="s">
        <v>377</v>
      </c>
      <c r="F97" t="s">
        <v>378</v>
      </c>
      <c r="G97" t="s">
        <v>77</v>
      </c>
      <c r="H97" t="s">
        <v>66</v>
      </c>
      <c r="I97" t="s">
        <v>77</v>
      </c>
      <c r="J97" t="s">
        <v>54</v>
      </c>
      <c r="K97">
        <v>166</v>
      </c>
      <c r="L97">
        <v>7</v>
      </c>
      <c r="M97">
        <v>113</v>
      </c>
      <c r="N97">
        <v>10</v>
      </c>
      <c r="O97" t="s">
        <v>77</v>
      </c>
      <c r="P97" t="s">
        <v>38</v>
      </c>
      <c r="Q97">
        <v>53</v>
      </c>
      <c r="R97">
        <v>0</v>
      </c>
      <c r="S97" t="s">
        <v>388</v>
      </c>
      <c r="T97" t="s">
        <v>40</v>
      </c>
      <c r="U97" t="s">
        <v>328</v>
      </c>
      <c r="V97" t="s">
        <v>312</v>
      </c>
      <c r="W97" t="s">
        <v>316</v>
      </c>
      <c r="X97" t="s">
        <v>355</v>
      </c>
      <c r="Y97" t="s">
        <v>45</v>
      </c>
      <c r="Z97">
        <v>20</v>
      </c>
      <c r="AA97">
        <v>6</v>
      </c>
      <c r="AB97" t="s">
        <v>46</v>
      </c>
      <c r="AC97" t="s">
        <v>47</v>
      </c>
      <c r="AD97" t="s">
        <v>389</v>
      </c>
      <c r="AE97" t="s">
        <v>390</v>
      </c>
    </row>
    <row r="98" spans="1:31" x14ac:dyDescent="0.2">
      <c r="A98" t="s">
        <v>31</v>
      </c>
      <c r="B98">
        <v>2009</v>
      </c>
      <c r="C98">
        <v>41</v>
      </c>
      <c r="D98" s="1">
        <v>39945</v>
      </c>
      <c r="E98" t="s">
        <v>326</v>
      </c>
      <c r="F98" t="s">
        <v>327</v>
      </c>
      <c r="G98" t="s">
        <v>35</v>
      </c>
      <c r="H98" t="s">
        <v>36</v>
      </c>
      <c r="I98" t="s">
        <v>35</v>
      </c>
      <c r="J98" t="s">
        <v>37</v>
      </c>
      <c r="K98">
        <v>176</v>
      </c>
      <c r="L98">
        <v>4</v>
      </c>
      <c r="M98">
        <v>173</v>
      </c>
      <c r="N98">
        <v>4</v>
      </c>
      <c r="O98" t="s">
        <v>35</v>
      </c>
      <c r="P98" t="s">
        <v>38</v>
      </c>
      <c r="Q98">
        <v>0</v>
      </c>
      <c r="R98">
        <v>6</v>
      </c>
      <c r="S98" t="s">
        <v>391</v>
      </c>
      <c r="T98" t="s">
        <v>274</v>
      </c>
      <c r="U98" t="s">
        <v>297</v>
      </c>
      <c r="V98" t="s">
        <v>354</v>
      </c>
      <c r="W98" t="s">
        <v>42</v>
      </c>
      <c r="X98" t="s">
        <v>329</v>
      </c>
      <c r="Y98" t="s">
        <v>45</v>
      </c>
      <c r="Z98">
        <v>20</v>
      </c>
      <c r="AA98">
        <v>6</v>
      </c>
      <c r="AB98" t="s">
        <v>46</v>
      </c>
      <c r="AC98" t="s">
        <v>47</v>
      </c>
      <c r="AD98" t="s">
        <v>392</v>
      </c>
      <c r="AE98" t="s">
        <v>393</v>
      </c>
    </row>
    <row r="99" spans="1:31" x14ac:dyDescent="0.2">
      <c r="A99" t="s">
        <v>31</v>
      </c>
      <c r="B99">
        <v>2009</v>
      </c>
      <c r="C99">
        <v>42</v>
      </c>
      <c r="D99" s="1">
        <v>39945</v>
      </c>
      <c r="E99" t="s">
        <v>326</v>
      </c>
      <c r="F99" t="s">
        <v>327</v>
      </c>
      <c r="G99" t="s">
        <v>52</v>
      </c>
      <c r="H99" t="s">
        <v>87</v>
      </c>
      <c r="I99" t="s">
        <v>52</v>
      </c>
      <c r="J99" t="s">
        <v>54</v>
      </c>
      <c r="K99">
        <v>119</v>
      </c>
      <c r="L99">
        <v>9</v>
      </c>
      <c r="M99">
        <v>122</v>
      </c>
      <c r="N99">
        <v>2</v>
      </c>
      <c r="O99" t="s">
        <v>87</v>
      </c>
      <c r="P99" t="s">
        <v>38</v>
      </c>
      <c r="Q99">
        <v>0</v>
      </c>
      <c r="R99">
        <v>8</v>
      </c>
      <c r="S99" t="s">
        <v>394</v>
      </c>
      <c r="T99" t="s">
        <v>274</v>
      </c>
      <c r="U99" t="s">
        <v>354</v>
      </c>
      <c r="V99" t="s">
        <v>42</v>
      </c>
      <c r="W99" t="s">
        <v>297</v>
      </c>
      <c r="X99" t="s">
        <v>329</v>
      </c>
      <c r="Y99" t="s">
        <v>45</v>
      </c>
      <c r="Z99">
        <v>20</v>
      </c>
      <c r="AA99">
        <v>6</v>
      </c>
      <c r="AB99" t="s">
        <v>46</v>
      </c>
      <c r="AC99" t="s">
        <v>47</v>
      </c>
      <c r="AD99" t="s">
        <v>395</v>
      </c>
      <c r="AE99" t="s">
        <v>396</v>
      </c>
    </row>
    <row r="100" spans="1:31" x14ac:dyDescent="0.2">
      <c r="A100" t="s">
        <v>31</v>
      </c>
      <c r="B100">
        <v>2009</v>
      </c>
      <c r="C100">
        <v>43</v>
      </c>
      <c r="D100" s="1">
        <v>39946</v>
      </c>
      <c r="E100" t="s">
        <v>290</v>
      </c>
      <c r="F100" t="s">
        <v>291</v>
      </c>
      <c r="G100" t="s">
        <v>77</v>
      </c>
      <c r="H100" t="s">
        <v>65</v>
      </c>
      <c r="I100" t="s">
        <v>77</v>
      </c>
      <c r="J100" t="s">
        <v>37</v>
      </c>
      <c r="K100">
        <v>161</v>
      </c>
      <c r="L100">
        <v>10</v>
      </c>
      <c r="M100">
        <v>173</v>
      </c>
      <c r="N100">
        <v>7</v>
      </c>
      <c r="O100" t="s">
        <v>65</v>
      </c>
      <c r="P100" t="s">
        <v>38</v>
      </c>
      <c r="Q100">
        <v>12</v>
      </c>
      <c r="R100">
        <v>0</v>
      </c>
      <c r="S100" t="s">
        <v>397</v>
      </c>
      <c r="T100" t="s">
        <v>293</v>
      </c>
      <c r="U100" t="s">
        <v>90</v>
      </c>
      <c r="V100" t="s">
        <v>58</v>
      </c>
      <c r="W100" t="s">
        <v>59</v>
      </c>
      <c r="X100" t="s">
        <v>277</v>
      </c>
      <c r="Y100" t="s">
        <v>45</v>
      </c>
      <c r="Z100">
        <v>20</v>
      </c>
      <c r="AA100">
        <v>6</v>
      </c>
      <c r="AB100" t="s">
        <v>46</v>
      </c>
      <c r="AC100" t="s">
        <v>47</v>
      </c>
      <c r="AD100" t="s">
        <v>398</v>
      </c>
      <c r="AE100" t="s">
        <v>399</v>
      </c>
    </row>
    <row r="101" spans="1:31" x14ac:dyDescent="0.2">
      <c r="A101" t="s">
        <v>31</v>
      </c>
      <c r="B101">
        <v>2009</v>
      </c>
      <c r="C101">
        <v>44</v>
      </c>
      <c r="D101" s="1">
        <v>39947</v>
      </c>
      <c r="E101" t="s">
        <v>290</v>
      </c>
      <c r="F101" t="s">
        <v>291</v>
      </c>
      <c r="G101" t="s">
        <v>35</v>
      </c>
      <c r="H101" t="s">
        <v>53</v>
      </c>
      <c r="I101" t="s">
        <v>53</v>
      </c>
      <c r="J101" t="s">
        <v>54</v>
      </c>
      <c r="K101">
        <v>132</v>
      </c>
      <c r="L101">
        <v>8</v>
      </c>
      <c r="M101">
        <v>129</v>
      </c>
      <c r="N101">
        <v>10</v>
      </c>
      <c r="O101" t="s">
        <v>35</v>
      </c>
      <c r="P101" t="s">
        <v>38</v>
      </c>
      <c r="Q101">
        <v>0</v>
      </c>
      <c r="R101">
        <v>2</v>
      </c>
      <c r="S101" t="s">
        <v>391</v>
      </c>
      <c r="T101" t="s">
        <v>293</v>
      </c>
      <c r="U101" t="s">
        <v>137</v>
      </c>
      <c r="V101" t="s">
        <v>90</v>
      </c>
      <c r="W101" t="s">
        <v>58</v>
      </c>
      <c r="X101" t="s">
        <v>277</v>
      </c>
      <c r="Y101" t="s">
        <v>45</v>
      </c>
      <c r="Z101">
        <v>20</v>
      </c>
      <c r="AA101">
        <v>6</v>
      </c>
      <c r="AB101" t="s">
        <v>46</v>
      </c>
      <c r="AC101" t="s">
        <v>47</v>
      </c>
      <c r="AD101" t="s">
        <v>400</v>
      </c>
      <c r="AE101" t="s">
        <v>401</v>
      </c>
    </row>
    <row r="102" spans="1:31" x14ac:dyDescent="0.2">
      <c r="A102" t="s">
        <v>31</v>
      </c>
      <c r="B102">
        <v>2009</v>
      </c>
      <c r="C102">
        <v>45</v>
      </c>
      <c r="D102" s="1">
        <v>39947</v>
      </c>
      <c r="E102" t="s">
        <v>290</v>
      </c>
      <c r="F102" t="s">
        <v>291</v>
      </c>
      <c r="G102" t="s">
        <v>87</v>
      </c>
      <c r="H102" t="s">
        <v>66</v>
      </c>
      <c r="I102" t="s">
        <v>66</v>
      </c>
      <c r="J102" t="s">
        <v>54</v>
      </c>
      <c r="K102">
        <v>143</v>
      </c>
      <c r="L102">
        <v>10</v>
      </c>
      <c r="M102">
        <v>145</v>
      </c>
      <c r="N102">
        <v>7</v>
      </c>
      <c r="O102" t="s">
        <v>66</v>
      </c>
      <c r="P102" t="s">
        <v>38</v>
      </c>
      <c r="Q102">
        <v>2</v>
      </c>
      <c r="R102">
        <v>0</v>
      </c>
      <c r="S102" t="s">
        <v>402</v>
      </c>
      <c r="T102" t="s">
        <v>293</v>
      </c>
      <c r="U102" t="s">
        <v>137</v>
      </c>
      <c r="V102" t="s">
        <v>90</v>
      </c>
      <c r="W102" t="s">
        <v>58</v>
      </c>
      <c r="X102" t="s">
        <v>277</v>
      </c>
      <c r="Y102" t="s">
        <v>45</v>
      </c>
      <c r="Z102">
        <v>20</v>
      </c>
      <c r="AA102">
        <v>6</v>
      </c>
      <c r="AB102" t="s">
        <v>46</v>
      </c>
      <c r="AC102" t="s">
        <v>47</v>
      </c>
      <c r="AD102" t="s">
        <v>403</v>
      </c>
      <c r="AE102" t="s">
        <v>404</v>
      </c>
    </row>
    <row r="103" spans="1:31" x14ac:dyDescent="0.2">
      <c r="A103" t="s">
        <v>31</v>
      </c>
      <c r="B103">
        <v>2009</v>
      </c>
      <c r="C103">
        <v>46</v>
      </c>
      <c r="D103" s="1">
        <v>39948</v>
      </c>
      <c r="E103" t="s">
        <v>405</v>
      </c>
      <c r="F103" t="s">
        <v>406</v>
      </c>
      <c r="G103" t="s">
        <v>65</v>
      </c>
      <c r="H103" t="s">
        <v>52</v>
      </c>
      <c r="I103" t="s">
        <v>52</v>
      </c>
      <c r="J103" t="s">
        <v>37</v>
      </c>
      <c r="K103">
        <v>120</v>
      </c>
      <c r="L103">
        <v>9</v>
      </c>
      <c r="M103">
        <v>123</v>
      </c>
      <c r="N103">
        <v>4</v>
      </c>
      <c r="O103" t="s">
        <v>52</v>
      </c>
      <c r="P103" t="s">
        <v>38</v>
      </c>
      <c r="Q103">
        <v>0</v>
      </c>
      <c r="R103">
        <v>6</v>
      </c>
      <c r="S103" t="s">
        <v>407</v>
      </c>
      <c r="T103" t="s">
        <v>40</v>
      </c>
      <c r="U103" t="s">
        <v>312</v>
      </c>
      <c r="V103" t="s">
        <v>71</v>
      </c>
      <c r="W103" t="s">
        <v>316</v>
      </c>
      <c r="X103" t="s">
        <v>301</v>
      </c>
      <c r="Y103" t="s">
        <v>45</v>
      </c>
      <c r="Z103">
        <v>20</v>
      </c>
      <c r="AA103">
        <v>6</v>
      </c>
      <c r="AB103" t="s">
        <v>46</v>
      </c>
      <c r="AC103" t="s">
        <v>47</v>
      </c>
      <c r="AD103" t="s">
        <v>408</v>
      </c>
      <c r="AE103" t="s">
        <v>409</v>
      </c>
    </row>
    <row r="104" spans="1:31" x14ac:dyDescent="0.2">
      <c r="A104" t="s">
        <v>31</v>
      </c>
      <c r="B104">
        <v>2009</v>
      </c>
      <c r="C104">
        <v>47</v>
      </c>
      <c r="D104" s="1">
        <v>39949</v>
      </c>
      <c r="E104" t="s">
        <v>283</v>
      </c>
      <c r="F104" t="s">
        <v>284</v>
      </c>
      <c r="G104" t="s">
        <v>53</v>
      </c>
      <c r="H104" t="s">
        <v>87</v>
      </c>
      <c r="I104" t="s">
        <v>87</v>
      </c>
      <c r="J104" t="s">
        <v>54</v>
      </c>
      <c r="K104">
        <v>151</v>
      </c>
      <c r="L104">
        <v>3</v>
      </c>
      <c r="M104">
        <v>147</v>
      </c>
      <c r="N104">
        <v>5</v>
      </c>
      <c r="O104" t="s">
        <v>53</v>
      </c>
      <c r="P104" t="s">
        <v>38</v>
      </c>
      <c r="Q104">
        <v>0</v>
      </c>
      <c r="R104">
        <v>7</v>
      </c>
      <c r="S104" t="s">
        <v>110</v>
      </c>
      <c r="T104" t="s">
        <v>274</v>
      </c>
      <c r="U104" t="s">
        <v>124</v>
      </c>
      <c r="V104" t="s">
        <v>286</v>
      </c>
      <c r="W104" t="s">
        <v>188</v>
      </c>
      <c r="X104" t="s">
        <v>287</v>
      </c>
      <c r="Y104" t="s">
        <v>45</v>
      </c>
      <c r="Z104">
        <v>20</v>
      </c>
      <c r="AA104">
        <v>6</v>
      </c>
      <c r="AB104" t="s">
        <v>46</v>
      </c>
      <c r="AC104" t="s">
        <v>47</v>
      </c>
      <c r="AD104" t="s">
        <v>410</v>
      </c>
      <c r="AE104" t="s">
        <v>411</v>
      </c>
    </row>
    <row r="105" spans="1:31" x14ac:dyDescent="0.2">
      <c r="A105" t="s">
        <v>31</v>
      </c>
      <c r="B105">
        <v>2009</v>
      </c>
      <c r="C105">
        <v>48</v>
      </c>
      <c r="D105" s="1">
        <v>39949</v>
      </c>
      <c r="E105" t="s">
        <v>351</v>
      </c>
      <c r="F105" t="s">
        <v>352</v>
      </c>
      <c r="G105" t="s">
        <v>77</v>
      </c>
      <c r="H105" t="s">
        <v>36</v>
      </c>
      <c r="I105" t="s">
        <v>77</v>
      </c>
      <c r="J105" t="s">
        <v>37</v>
      </c>
      <c r="K105">
        <v>166</v>
      </c>
      <c r="L105">
        <v>4</v>
      </c>
      <c r="M105">
        <v>160</v>
      </c>
      <c r="N105">
        <v>5</v>
      </c>
      <c r="O105" t="s">
        <v>77</v>
      </c>
      <c r="P105" t="s">
        <v>38</v>
      </c>
      <c r="Q105">
        <v>0</v>
      </c>
      <c r="R105">
        <v>6</v>
      </c>
      <c r="S105" t="s">
        <v>369</v>
      </c>
      <c r="T105" t="s">
        <v>56</v>
      </c>
      <c r="U105" t="s">
        <v>42</v>
      </c>
      <c r="V105" t="s">
        <v>111</v>
      </c>
      <c r="W105" t="s">
        <v>58</v>
      </c>
      <c r="X105" t="s">
        <v>355</v>
      </c>
      <c r="Y105" t="s">
        <v>45</v>
      </c>
      <c r="Z105">
        <v>20</v>
      </c>
      <c r="AA105">
        <v>6</v>
      </c>
      <c r="AB105" t="s">
        <v>46</v>
      </c>
      <c r="AC105" t="s">
        <v>47</v>
      </c>
      <c r="AD105" t="s">
        <v>412</v>
      </c>
      <c r="AE105" t="s">
        <v>413</v>
      </c>
    </row>
    <row r="106" spans="1:31" x14ac:dyDescent="0.2">
      <c r="A106" t="s">
        <v>31</v>
      </c>
      <c r="B106">
        <v>2009</v>
      </c>
      <c r="C106">
        <v>49</v>
      </c>
      <c r="D106" s="1">
        <v>39950</v>
      </c>
      <c r="E106" t="s">
        <v>351</v>
      </c>
      <c r="F106" t="s">
        <v>352</v>
      </c>
      <c r="G106" t="s">
        <v>77</v>
      </c>
      <c r="H106" t="s">
        <v>52</v>
      </c>
      <c r="I106" t="s">
        <v>77</v>
      </c>
      <c r="J106" t="s">
        <v>37</v>
      </c>
      <c r="K106">
        <v>133</v>
      </c>
      <c r="L106">
        <v>8</v>
      </c>
      <c r="M106">
        <v>134</v>
      </c>
      <c r="N106">
        <v>7</v>
      </c>
      <c r="O106" t="s">
        <v>52</v>
      </c>
      <c r="P106" t="s">
        <v>38</v>
      </c>
      <c r="Q106">
        <v>1</v>
      </c>
      <c r="R106">
        <v>0</v>
      </c>
      <c r="S106" t="s">
        <v>346</v>
      </c>
      <c r="T106" t="s">
        <v>56</v>
      </c>
      <c r="U106" t="s">
        <v>111</v>
      </c>
      <c r="V106" t="s">
        <v>59</v>
      </c>
      <c r="W106" t="s">
        <v>328</v>
      </c>
      <c r="X106" t="s">
        <v>355</v>
      </c>
      <c r="Y106" t="s">
        <v>45</v>
      </c>
      <c r="Z106">
        <v>20</v>
      </c>
      <c r="AA106">
        <v>6</v>
      </c>
      <c r="AB106" t="s">
        <v>46</v>
      </c>
      <c r="AC106" t="s">
        <v>47</v>
      </c>
      <c r="AD106" t="s">
        <v>414</v>
      </c>
      <c r="AE106" t="s">
        <v>415</v>
      </c>
    </row>
    <row r="107" spans="1:31" x14ac:dyDescent="0.2">
      <c r="A107" t="s">
        <v>31</v>
      </c>
      <c r="B107">
        <v>2009</v>
      </c>
      <c r="C107">
        <v>50</v>
      </c>
      <c r="D107" s="1">
        <v>39950</v>
      </c>
      <c r="E107" t="s">
        <v>405</v>
      </c>
      <c r="F107" t="s">
        <v>406</v>
      </c>
      <c r="G107" t="s">
        <v>65</v>
      </c>
      <c r="H107" t="s">
        <v>66</v>
      </c>
      <c r="I107" t="s">
        <v>65</v>
      </c>
      <c r="J107" t="s">
        <v>54</v>
      </c>
      <c r="K107">
        <v>150</v>
      </c>
      <c r="L107">
        <v>3</v>
      </c>
      <c r="M107">
        <v>136</v>
      </c>
      <c r="N107">
        <v>9</v>
      </c>
      <c r="O107" t="s">
        <v>65</v>
      </c>
      <c r="P107" t="s">
        <v>38</v>
      </c>
      <c r="Q107">
        <v>14</v>
      </c>
      <c r="R107">
        <v>0</v>
      </c>
      <c r="S107" t="s">
        <v>300</v>
      </c>
      <c r="T107" t="s">
        <v>40</v>
      </c>
      <c r="U107" t="s">
        <v>354</v>
      </c>
      <c r="V107" t="s">
        <v>71</v>
      </c>
      <c r="W107" t="s">
        <v>312</v>
      </c>
      <c r="X107" t="s">
        <v>301</v>
      </c>
      <c r="Y107" t="s">
        <v>45</v>
      </c>
      <c r="Z107">
        <v>20</v>
      </c>
      <c r="AA107">
        <v>6</v>
      </c>
      <c r="AB107" t="s">
        <v>46</v>
      </c>
      <c r="AC107" t="s">
        <v>47</v>
      </c>
      <c r="AD107" t="s">
        <v>416</v>
      </c>
      <c r="AE107" t="s">
        <v>417</v>
      </c>
    </row>
    <row r="108" spans="1:31" x14ac:dyDescent="0.2">
      <c r="A108" t="s">
        <v>31</v>
      </c>
      <c r="B108">
        <v>2009</v>
      </c>
      <c r="C108">
        <v>51</v>
      </c>
      <c r="D108" s="1">
        <v>39951</v>
      </c>
      <c r="E108" t="s">
        <v>326</v>
      </c>
      <c r="F108" t="s">
        <v>327</v>
      </c>
      <c r="G108" t="s">
        <v>53</v>
      </c>
      <c r="H108" t="s">
        <v>36</v>
      </c>
      <c r="I108" t="s">
        <v>53</v>
      </c>
      <c r="J108" t="s">
        <v>54</v>
      </c>
      <c r="K108">
        <v>188</v>
      </c>
      <c r="L108">
        <v>3</v>
      </c>
      <c r="M108">
        <v>189</v>
      </c>
      <c r="N108">
        <v>3</v>
      </c>
      <c r="O108" t="s">
        <v>36</v>
      </c>
      <c r="P108" t="s">
        <v>38</v>
      </c>
      <c r="Q108">
        <v>0</v>
      </c>
      <c r="R108">
        <v>7</v>
      </c>
      <c r="S108" t="s">
        <v>418</v>
      </c>
      <c r="T108" t="s">
        <v>56</v>
      </c>
      <c r="U108" t="s">
        <v>286</v>
      </c>
      <c r="V108" t="s">
        <v>59</v>
      </c>
      <c r="W108" t="s">
        <v>124</v>
      </c>
      <c r="X108" t="s">
        <v>329</v>
      </c>
      <c r="Y108" t="s">
        <v>45</v>
      </c>
      <c r="Z108">
        <v>20</v>
      </c>
      <c r="AA108">
        <v>6</v>
      </c>
      <c r="AB108" t="s">
        <v>46</v>
      </c>
      <c r="AC108" t="s">
        <v>47</v>
      </c>
      <c r="AD108" t="s">
        <v>419</v>
      </c>
      <c r="AE108" t="s">
        <v>420</v>
      </c>
    </row>
    <row r="109" spans="1:31" x14ac:dyDescent="0.2">
      <c r="A109" t="s">
        <v>31</v>
      </c>
      <c r="B109">
        <v>2009</v>
      </c>
      <c r="C109">
        <v>52</v>
      </c>
      <c r="D109" s="1">
        <v>39952</v>
      </c>
      <c r="E109" t="s">
        <v>351</v>
      </c>
      <c r="F109" t="s">
        <v>352</v>
      </c>
      <c r="G109" t="s">
        <v>35</v>
      </c>
      <c r="H109" t="s">
        <v>65</v>
      </c>
      <c r="I109" t="s">
        <v>65</v>
      </c>
      <c r="J109" t="s">
        <v>54</v>
      </c>
      <c r="K109">
        <v>135</v>
      </c>
      <c r="L109">
        <v>3</v>
      </c>
      <c r="M109">
        <v>134</v>
      </c>
      <c r="N109">
        <v>7</v>
      </c>
      <c r="O109" t="s">
        <v>35</v>
      </c>
      <c r="P109" t="s">
        <v>38</v>
      </c>
      <c r="Q109">
        <v>0</v>
      </c>
      <c r="R109">
        <v>7</v>
      </c>
      <c r="S109" t="s">
        <v>359</v>
      </c>
      <c r="T109" t="s">
        <v>40</v>
      </c>
      <c r="U109" t="s">
        <v>71</v>
      </c>
      <c r="V109" t="s">
        <v>59</v>
      </c>
      <c r="W109" t="s">
        <v>316</v>
      </c>
      <c r="X109" t="s">
        <v>355</v>
      </c>
      <c r="Y109" t="s">
        <v>45</v>
      </c>
      <c r="Z109">
        <v>20</v>
      </c>
      <c r="AA109">
        <v>6</v>
      </c>
      <c r="AB109" t="s">
        <v>46</v>
      </c>
      <c r="AC109" t="s">
        <v>47</v>
      </c>
      <c r="AD109" t="s">
        <v>421</v>
      </c>
      <c r="AE109" t="s">
        <v>422</v>
      </c>
    </row>
    <row r="110" spans="1:31" x14ac:dyDescent="0.2">
      <c r="A110" t="s">
        <v>31</v>
      </c>
      <c r="B110">
        <v>2009</v>
      </c>
      <c r="C110">
        <v>53</v>
      </c>
      <c r="D110" s="1">
        <v>39953</v>
      </c>
      <c r="E110" t="s">
        <v>290</v>
      </c>
      <c r="F110" t="s">
        <v>291</v>
      </c>
      <c r="G110" t="s">
        <v>36</v>
      </c>
      <c r="H110" t="s">
        <v>66</v>
      </c>
      <c r="I110" t="s">
        <v>36</v>
      </c>
      <c r="J110" t="s">
        <v>37</v>
      </c>
      <c r="K110">
        <v>102</v>
      </c>
      <c r="L110">
        <v>6</v>
      </c>
      <c r="M110">
        <v>101</v>
      </c>
      <c r="N110">
        <v>9</v>
      </c>
      <c r="O110" t="s">
        <v>36</v>
      </c>
      <c r="P110" t="s">
        <v>38</v>
      </c>
      <c r="Q110">
        <v>0</v>
      </c>
      <c r="R110">
        <v>4</v>
      </c>
      <c r="S110" t="s">
        <v>423</v>
      </c>
      <c r="T110" t="s">
        <v>293</v>
      </c>
      <c r="U110" t="s">
        <v>188</v>
      </c>
      <c r="V110" t="s">
        <v>286</v>
      </c>
      <c r="W110" t="s">
        <v>354</v>
      </c>
      <c r="X110" t="s">
        <v>267</v>
      </c>
      <c r="Y110" t="s">
        <v>45</v>
      </c>
      <c r="Z110">
        <v>20</v>
      </c>
      <c r="AA110">
        <v>6</v>
      </c>
      <c r="AB110" t="s">
        <v>46</v>
      </c>
      <c r="AC110" t="s">
        <v>47</v>
      </c>
      <c r="AD110" t="s">
        <v>424</v>
      </c>
      <c r="AE110" t="s">
        <v>425</v>
      </c>
    </row>
    <row r="111" spans="1:31" x14ac:dyDescent="0.2">
      <c r="A111" t="s">
        <v>31</v>
      </c>
      <c r="B111">
        <v>2009</v>
      </c>
      <c r="C111">
        <v>54</v>
      </c>
      <c r="D111" s="1">
        <v>39953</v>
      </c>
      <c r="E111" t="s">
        <v>290</v>
      </c>
      <c r="F111" t="s">
        <v>291</v>
      </c>
      <c r="G111" t="s">
        <v>53</v>
      </c>
      <c r="H111" t="s">
        <v>52</v>
      </c>
      <c r="I111" t="s">
        <v>53</v>
      </c>
      <c r="J111" t="s">
        <v>54</v>
      </c>
      <c r="K111">
        <v>116</v>
      </c>
      <c r="L111">
        <v>9</v>
      </c>
      <c r="M111">
        <v>92</v>
      </c>
      <c r="N111">
        <v>8</v>
      </c>
      <c r="O111" t="s">
        <v>53</v>
      </c>
      <c r="P111" t="s">
        <v>38</v>
      </c>
      <c r="Q111">
        <v>24</v>
      </c>
      <c r="R111">
        <v>0</v>
      </c>
      <c r="S111" t="s">
        <v>285</v>
      </c>
      <c r="T111" t="s">
        <v>293</v>
      </c>
      <c r="U111" t="s">
        <v>188</v>
      </c>
      <c r="V111" t="s">
        <v>286</v>
      </c>
      <c r="W111" t="s">
        <v>354</v>
      </c>
      <c r="X111" t="s">
        <v>267</v>
      </c>
      <c r="Y111" t="s">
        <v>45</v>
      </c>
      <c r="Z111">
        <v>20</v>
      </c>
      <c r="AA111">
        <v>6</v>
      </c>
      <c r="AB111" t="s">
        <v>46</v>
      </c>
      <c r="AC111" t="s">
        <v>47</v>
      </c>
      <c r="AD111" t="s">
        <v>426</v>
      </c>
      <c r="AE111" t="s">
        <v>415</v>
      </c>
    </row>
    <row r="112" spans="1:31" x14ac:dyDescent="0.2">
      <c r="A112" t="s">
        <v>31</v>
      </c>
      <c r="B112">
        <v>2009</v>
      </c>
      <c r="C112">
        <v>55</v>
      </c>
      <c r="D112" s="1">
        <v>39954</v>
      </c>
      <c r="E112" t="s">
        <v>326</v>
      </c>
      <c r="F112" t="s">
        <v>327</v>
      </c>
      <c r="G112" t="s">
        <v>65</v>
      </c>
      <c r="H112" t="s">
        <v>87</v>
      </c>
      <c r="I112" t="s">
        <v>65</v>
      </c>
      <c r="J112" t="s">
        <v>37</v>
      </c>
      <c r="K112">
        <v>166</v>
      </c>
      <c r="L112">
        <v>6</v>
      </c>
      <c r="M112">
        <v>165</v>
      </c>
      <c r="N112">
        <v>8</v>
      </c>
      <c r="O112" t="s">
        <v>65</v>
      </c>
      <c r="P112" t="s">
        <v>38</v>
      </c>
      <c r="Q112">
        <v>0</v>
      </c>
      <c r="R112">
        <v>4</v>
      </c>
      <c r="S112" t="s">
        <v>103</v>
      </c>
      <c r="T112" t="s">
        <v>56</v>
      </c>
      <c r="U112" t="s">
        <v>71</v>
      </c>
      <c r="V112" t="s">
        <v>111</v>
      </c>
      <c r="W112" t="s">
        <v>124</v>
      </c>
      <c r="X112" t="s">
        <v>277</v>
      </c>
      <c r="Y112" t="s">
        <v>45</v>
      </c>
      <c r="Z112">
        <v>20</v>
      </c>
      <c r="AA112">
        <v>6</v>
      </c>
      <c r="AB112" t="s">
        <v>46</v>
      </c>
      <c r="AC112" t="s">
        <v>47</v>
      </c>
      <c r="AD112" t="s">
        <v>427</v>
      </c>
      <c r="AE112" t="s">
        <v>428</v>
      </c>
    </row>
    <row r="113" spans="1:31" x14ac:dyDescent="0.2">
      <c r="A113" t="s">
        <v>31</v>
      </c>
      <c r="B113">
        <v>2009</v>
      </c>
      <c r="C113">
        <v>56</v>
      </c>
      <c r="D113" s="1">
        <v>39954</v>
      </c>
      <c r="E113" t="s">
        <v>326</v>
      </c>
      <c r="F113" t="s">
        <v>327</v>
      </c>
      <c r="G113" t="s">
        <v>35</v>
      </c>
      <c r="H113" t="s">
        <v>77</v>
      </c>
      <c r="I113" t="s">
        <v>35</v>
      </c>
      <c r="J113" t="s">
        <v>54</v>
      </c>
      <c r="K113">
        <v>170</v>
      </c>
      <c r="L113">
        <v>4</v>
      </c>
      <c r="M113">
        <v>158</v>
      </c>
      <c r="N113">
        <v>6</v>
      </c>
      <c r="O113" t="s">
        <v>35</v>
      </c>
      <c r="P113" t="s">
        <v>38</v>
      </c>
      <c r="Q113">
        <v>12</v>
      </c>
      <c r="R113">
        <v>0</v>
      </c>
      <c r="S113" t="s">
        <v>429</v>
      </c>
      <c r="T113" t="s">
        <v>56</v>
      </c>
      <c r="U113" t="s">
        <v>71</v>
      </c>
      <c r="V113" t="s">
        <v>111</v>
      </c>
      <c r="W113" t="s">
        <v>124</v>
      </c>
      <c r="X113" t="s">
        <v>277</v>
      </c>
      <c r="Y113" t="s">
        <v>45</v>
      </c>
      <c r="Z113">
        <v>20</v>
      </c>
      <c r="AA113">
        <v>6</v>
      </c>
      <c r="AB113" t="s">
        <v>46</v>
      </c>
      <c r="AC113" t="s">
        <v>47</v>
      </c>
      <c r="AD113" t="s">
        <v>430</v>
      </c>
      <c r="AE113" t="s">
        <v>431</v>
      </c>
    </row>
    <row r="114" spans="1:31" x14ac:dyDescent="0.2">
      <c r="A114" t="s">
        <v>31</v>
      </c>
      <c r="B114">
        <v>2009</v>
      </c>
      <c r="C114" t="s">
        <v>256</v>
      </c>
      <c r="D114" s="1">
        <v>39955</v>
      </c>
      <c r="E114" t="s">
        <v>326</v>
      </c>
      <c r="F114" t="s">
        <v>327</v>
      </c>
      <c r="G114" t="s">
        <v>65</v>
      </c>
      <c r="H114" t="s">
        <v>77</v>
      </c>
      <c r="I114" t="s">
        <v>77</v>
      </c>
      <c r="J114" t="s">
        <v>37</v>
      </c>
      <c r="K114">
        <v>153</v>
      </c>
      <c r="L114">
        <v>8</v>
      </c>
      <c r="M114">
        <v>154</v>
      </c>
      <c r="N114">
        <v>4</v>
      </c>
      <c r="O114" t="s">
        <v>77</v>
      </c>
      <c r="P114" t="s">
        <v>38</v>
      </c>
      <c r="Q114">
        <v>0</v>
      </c>
      <c r="R114">
        <v>6</v>
      </c>
      <c r="S114" t="s">
        <v>132</v>
      </c>
      <c r="T114" t="s">
        <v>56</v>
      </c>
      <c r="U114" t="s">
        <v>137</v>
      </c>
      <c r="V114" t="s">
        <v>90</v>
      </c>
      <c r="W114" t="s">
        <v>42</v>
      </c>
      <c r="X114" t="s">
        <v>329</v>
      </c>
      <c r="Y114" t="s">
        <v>45</v>
      </c>
      <c r="Z114">
        <v>20</v>
      </c>
      <c r="AA114">
        <v>6</v>
      </c>
      <c r="AB114" t="s">
        <v>46</v>
      </c>
      <c r="AC114" t="s">
        <v>47</v>
      </c>
      <c r="AD114" t="s">
        <v>432</v>
      </c>
      <c r="AE114" t="s">
        <v>433</v>
      </c>
    </row>
    <row r="115" spans="1:31" x14ac:dyDescent="0.2">
      <c r="A115" t="s">
        <v>31</v>
      </c>
      <c r="B115">
        <v>2009</v>
      </c>
      <c r="C115" t="s">
        <v>256</v>
      </c>
      <c r="D115" s="1">
        <v>39956</v>
      </c>
      <c r="E115" t="s">
        <v>351</v>
      </c>
      <c r="F115" t="s">
        <v>352</v>
      </c>
      <c r="G115" t="s">
        <v>35</v>
      </c>
      <c r="H115" t="s">
        <v>53</v>
      </c>
      <c r="I115" t="s">
        <v>35</v>
      </c>
      <c r="J115" t="s">
        <v>37</v>
      </c>
      <c r="K115">
        <v>149</v>
      </c>
      <c r="L115">
        <v>4</v>
      </c>
      <c r="M115">
        <v>146</v>
      </c>
      <c r="N115">
        <v>5</v>
      </c>
      <c r="O115" t="s">
        <v>35</v>
      </c>
      <c r="P115" t="s">
        <v>38</v>
      </c>
      <c r="Q115">
        <v>0</v>
      </c>
      <c r="R115">
        <v>6</v>
      </c>
      <c r="S115" t="s">
        <v>429</v>
      </c>
      <c r="T115" t="s">
        <v>40</v>
      </c>
      <c r="U115" t="s">
        <v>42</v>
      </c>
      <c r="V115" t="s">
        <v>286</v>
      </c>
      <c r="W115" t="s">
        <v>71</v>
      </c>
      <c r="X115" t="s">
        <v>355</v>
      </c>
      <c r="Y115" t="s">
        <v>45</v>
      </c>
      <c r="Z115">
        <v>20</v>
      </c>
      <c r="AA115">
        <v>6</v>
      </c>
      <c r="AB115" t="s">
        <v>46</v>
      </c>
      <c r="AC115" t="s">
        <v>47</v>
      </c>
      <c r="AD115" t="s">
        <v>434</v>
      </c>
      <c r="AE115" t="s">
        <v>435</v>
      </c>
    </row>
    <row r="116" spans="1:31" x14ac:dyDescent="0.2">
      <c r="A116" t="s">
        <v>31</v>
      </c>
      <c r="B116">
        <v>2009</v>
      </c>
      <c r="C116" t="s">
        <v>256</v>
      </c>
      <c r="D116" s="1">
        <v>39957</v>
      </c>
      <c r="E116" t="s">
        <v>351</v>
      </c>
      <c r="F116" t="s">
        <v>352</v>
      </c>
      <c r="G116" t="s">
        <v>35</v>
      </c>
      <c r="H116" t="s">
        <v>77</v>
      </c>
      <c r="I116" t="s">
        <v>35</v>
      </c>
      <c r="J116" t="s">
        <v>37</v>
      </c>
      <c r="K116">
        <v>137</v>
      </c>
      <c r="L116">
        <v>9</v>
      </c>
      <c r="M116">
        <v>143</v>
      </c>
      <c r="N116">
        <v>6</v>
      </c>
      <c r="O116" t="s">
        <v>77</v>
      </c>
      <c r="P116" t="s">
        <v>38</v>
      </c>
      <c r="Q116">
        <v>6</v>
      </c>
      <c r="R116">
        <v>0</v>
      </c>
      <c r="S116" t="s">
        <v>229</v>
      </c>
      <c r="T116" t="s">
        <v>40</v>
      </c>
      <c r="U116" t="s">
        <v>42</v>
      </c>
      <c r="V116" t="s">
        <v>286</v>
      </c>
      <c r="W116" t="s">
        <v>90</v>
      </c>
      <c r="X116" t="s">
        <v>301</v>
      </c>
      <c r="Y116" t="s">
        <v>45</v>
      </c>
      <c r="Z116">
        <v>20</v>
      </c>
      <c r="AA116">
        <v>6</v>
      </c>
      <c r="AB116" t="s">
        <v>46</v>
      </c>
      <c r="AC116" t="s">
        <v>47</v>
      </c>
      <c r="AD116" t="s">
        <v>436</v>
      </c>
      <c r="AE116" t="s">
        <v>437</v>
      </c>
    </row>
    <row r="117" spans="1:31" x14ac:dyDescent="0.2">
      <c r="A117" t="s">
        <v>31</v>
      </c>
      <c r="B117" t="s">
        <v>438</v>
      </c>
      <c r="C117">
        <v>1</v>
      </c>
      <c r="D117" s="1">
        <v>40249</v>
      </c>
      <c r="E117" t="s">
        <v>85</v>
      </c>
      <c r="F117" t="s">
        <v>131</v>
      </c>
      <c r="G117" t="s">
        <v>77</v>
      </c>
      <c r="H117" t="s">
        <v>36</v>
      </c>
      <c r="I117" t="s">
        <v>77</v>
      </c>
      <c r="J117" t="s">
        <v>37</v>
      </c>
      <c r="K117">
        <v>150</v>
      </c>
      <c r="L117">
        <v>7</v>
      </c>
      <c r="M117">
        <v>161</v>
      </c>
      <c r="N117">
        <v>4</v>
      </c>
      <c r="O117" t="s">
        <v>36</v>
      </c>
      <c r="P117" t="s">
        <v>38</v>
      </c>
      <c r="Q117">
        <v>11</v>
      </c>
      <c r="R117">
        <v>0</v>
      </c>
      <c r="S117" t="s">
        <v>439</v>
      </c>
      <c r="T117" t="s">
        <v>440</v>
      </c>
      <c r="U117" t="s">
        <v>42</v>
      </c>
      <c r="V117" t="s">
        <v>59</v>
      </c>
      <c r="W117" t="s">
        <v>188</v>
      </c>
      <c r="X117" t="s">
        <v>92</v>
      </c>
      <c r="Y117" t="s">
        <v>45</v>
      </c>
      <c r="Z117">
        <v>20</v>
      </c>
      <c r="AA117">
        <v>6</v>
      </c>
      <c r="AB117" t="s">
        <v>46</v>
      </c>
      <c r="AC117" t="s">
        <v>47</v>
      </c>
      <c r="AD117" t="s">
        <v>441</v>
      </c>
      <c r="AE117" t="s">
        <v>442</v>
      </c>
    </row>
    <row r="118" spans="1:31" x14ac:dyDescent="0.2">
      <c r="A118" t="s">
        <v>31</v>
      </c>
      <c r="B118" t="s">
        <v>438</v>
      </c>
      <c r="C118">
        <v>2</v>
      </c>
      <c r="D118" s="1">
        <v>40250</v>
      </c>
      <c r="E118" t="s">
        <v>85</v>
      </c>
      <c r="F118" t="s">
        <v>443</v>
      </c>
      <c r="G118" t="s">
        <v>87</v>
      </c>
      <c r="H118" t="s">
        <v>66</v>
      </c>
      <c r="I118" t="s">
        <v>87</v>
      </c>
      <c r="J118" t="s">
        <v>54</v>
      </c>
      <c r="K118">
        <v>212</v>
      </c>
      <c r="L118">
        <v>7</v>
      </c>
      <c r="M118">
        <v>208</v>
      </c>
      <c r="N118">
        <v>7</v>
      </c>
      <c r="O118" t="s">
        <v>87</v>
      </c>
      <c r="P118" t="s">
        <v>38</v>
      </c>
      <c r="Q118">
        <v>4</v>
      </c>
      <c r="R118">
        <v>0</v>
      </c>
      <c r="S118" t="s">
        <v>114</v>
      </c>
      <c r="T118" t="s">
        <v>440</v>
      </c>
      <c r="U118" t="s">
        <v>42</v>
      </c>
      <c r="V118" t="s">
        <v>59</v>
      </c>
      <c r="W118" t="s">
        <v>188</v>
      </c>
      <c r="X118" t="s">
        <v>444</v>
      </c>
      <c r="Y118" t="s">
        <v>45</v>
      </c>
      <c r="Z118">
        <v>20</v>
      </c>
      <c r="AA118">
        <v>6</v>
      </c>
      <c r="AB118" t="s">
        <v>46</v>
      </c>
      <c r="AC118" t="s">
        <v>47</v>
      </c>
      <c r="AD118" t="s">
        <v>445</v>
      </c>
      <c r="AE118" t="s">
        <v>446</v>
      </c>
    </row>
    <row r="119" spans="1:31" x14ac:dyDescent="0.2">
      <c r="A119" t="s">
        <v>31</v>
      </c>
      <c r="B119" t="s">
        <v>438</v>
      </c>
      <c r="C119">
        <v>3</v>
      </c>
      <c r="D119" s="1">
        <v>40250</v>
      </c>
      <c r="E119" t="s">
        <v>50</v>
      </c>
      <c r="F119" t="s">
        <v>51</v>
      </c>
      <c r="G119" t="s">
        <v>52</v>
      </c>
      <c r="H119" t="s">
        <v>65</v>
      </c>
      <c r="I119" t="s">
        <v>65</v>
      </c>
      <c r="J119" t="s">
        <v>37</v>
      </c>
      <c r="K119">
        <v>142</v>
      </c>
      <c r="L119">
        <v>9</v>
      </c>
      <c r="M119">
        <v>146</v>
      </c>
      <c r="N119">
        <v>5</v>
      </c>
      <c r="O119" t="s">
        <v>65</v>
      </c>
      <c r="P119" t="s">
        <v>38</v>
      </c>
      <c r="Q119">
        <v>0</v>
      </c>
      <c r="R119">
        <v>5</v>
      </c>
      <c r="S119" t="s">
        <v>366</v>
      </c>
      <c r="T119" t="s">
        <v>56</v>
      </c>
      <c r="U119" t="s">
        <v>137</v>
      </c>
      <c r="V119" t="s">
        <v>111</v>
      </c>
      <c r="W119" t="s">
        <v>124</v>
      </c>
      <c r="X119" t="s">
        <v>105</v>
      </c>
      <c r="Y119" t="s">
        <v>45</v>
      </c>
      <c r="Z119">
        <v>20</v>
      </c>
      <c r="AA119">
        <v>6</v>
      </c>
      <c r="AB119" t="s">
        <v>46</v>
      </c>
      <c r="AC119" t="s">
        <v>47</v>
      </c>
      <c r="AD119" t="s">
        <v>447</v>
      </c>
      <c r="AE119" t="s">
        <v>448</v>
      </c>
    </row>
    <row r="120" spans="1:31" x14ac:dyDescent="0.2">
      <c r="A120" t="s">
        <v>31</v>
      </c>
      <c r="B120" t="s">
        <v>438</v>
      </c>
      <c r="C120">
        <v>4</v>
      </c>
      <c r="D120" s="1">
        <v>40251</v>
      </c>
      <c r="E120" t="s">
        <v>75</v>
      </c>
      <c r="F120" t="s">
        <v>76</v>
      </c>
      <c r="G120" t="s">
        <v>36</v>
      </c>
      <c r="H120" t="s">
        <v>35</v>
      </c>
      <c r="I120" t="s">
        <v>36</v>
      </c>
      <c r="J120" t="s">
        <v>37</v>
      </c>
      <c r="K120">
        <v>136</v>
      </c>
      <c r="L120">
        <v>3</v>
      </c>
      <c r="M120">
        <v>135</v>
      </c>
      <c r="N120">
        <v>7</v>
      </c>
      <c r="O120" t="s">
        <v>36</v>
      </c>
      <c r="P120" t="s">
        <v>38</v>
      </c>
      <c r="Q120">
        <v>0</v>
      </c>
      <c r="R120">
        <v>7</v>
      </c>
      <c r="S120" t="s">
        <v>449</v>
      </c>
      <c r="T120" t="s">
        <v>274</v>
      </c>
      <c r="U120" t="s">
        <v>312</v>
      </c>
      <c r="V120" t="s">
        <v>43</v>
      </c>
      <c r="W120" t="s">
        <v>297</v>
      </c>
      <c r="X120" t="s">
        <v>450</v>
      </c>
      <c r="Y120" t="s">
        <v>45</v>
      </c>
      <c r="Z120">
        <v>20</v>
      </c>
      <c r="AA120">
        <v>6</v>
      </c>
      <c r="AB120" t="s">
        <v>46</v>
      </c>
      <c r="AC120" t="s">
        <v>47</v>
      </c>
      <c r="AD120" t="s">
        <v>451</v>
      </c>
      <c r="AE120" t="s">
        <v>452</v>
      </c>
    </row>
    <row r="121" spans="1:31" x14ac:dyDescent="0.2">
      <c r="A121" t="s">
        <v>31</v>
      </c>
      <c r="B121" t="s">
        <v>438</v>
      </c>
      <c r="C121">
        <v>5</v>
      </c>
      <c r="D121" s="1">
        <v>40251</v>
      </c>
      <c r="E121" t="s">
        <v>108</v>
      </c>
      <c r="F121" t="s">
        <v>109</v>
      </c>
      <c r="G121" t="s">
        <v>53</v>
      </c>
      <c r="H121" t="s">
        <v>77</v>
      </c>
      <c r="I121" t="s">
        <v>77</v>
      </c>
      <c r="J121" t="s">
        <v>54</v>
      </c>
      <c r="K121">
        <v>159</v>
      </c>
      <c r="L121">
        <v>9</v>
      </c>
      <c r="M121">
        <v>190</v>
      </c>
      <c r="N121">
        <v>4</v>
      </c>
      <c r="O121" t="s">
        <v>77</v>
      </c>
      <c r="P121" t="s">
        <v>38</v>
      </c>
      <c r="Q121">
        <v>31</v>
      </c>
      <c r="R121">
        <v>0</v>
      </c>
      <c r="S121" t="s">
        <v>453</v>
      </c>
      <c r="T121" t="s">
        <v>293</v>
      </c>
      <c r="U121" t="s">
        <v>81</v>
      </c>
      <c r="V121" t="s">
        <v>90</v>
      </c>
      <c r="W121" t="s">
        <v>454</v>
      </c>
      <c r="X121" t="s">
        <v>455</v>
      </c>
      <c r="Y121" t="s">
        <v>45</v>
      </c>
      <c r="Z121">
        <v>20</v>
      </c>
      <c r="AA121">
        <v>6</v>
      </c>
      <c r="AB121" t="s">
        <v>46</v>
      </c>
      <c r="AC121" t="s">
        <v>47</v>
      </c>
      <c r="AD121" t="s">
        <v>456</v>
      </c>
      <c r="AE121" t="s">
        <v>457</v>
      </c>
    </row>
    <row r="122" spans="1:31" x14ac:dyDescent="0.2">
      <c r="A122" t="s">
        <v>31</v>
      </c>
      <c r="B122" t="s">
        <v>438</v>
      </c>
      <c r="C122">
        <v>6</v>
      </c>
      <c r="D122" s="1">
        <v>40252</v>
      </c>
      <c r="E122" t="s">
        <v>458</v>
      </c>
      <c r="F122" t="s">
        <v>459</v>
      </c>
      <c r="G122" t="s">
        <v>66</v>
      </c>
      <c r="H122" t="s">
        <v>65</v>
      </c>
      <c r="I122" t="s">
        <v>65</v>
      </c>
      <c r="J122" t="s">
        <v>37</v>
      </c>
      <c r="K122">
        <v>141</v>
      </c>
      <c r="L122">
        <v>6</v>
      </c>
      <c r="M122">
        <v>142</v>
      </c>
      <c r="N122">
        <v>4</v>
      </c>
      <c r="O122" t="s">
        <v>65</v>
      </c>
      <c r="P122" t="s">
        <v>38</v>
      </c>
      <c r="Q122">
        <v>0</v>
      </c>
      <c r="R122">
        <v>6</v>
      </c>
      <c r="S122" t="s">
        <v>103</v>
      </c>
      <c r="T122" t="s">
        <v>440</v>
      </c>
      <c r="U122" t="s">
        <v>188</v>
      </c>
      <c r="V122" t="s">
        <v>42</v>
      </c>
      <c r="W122" t="s">
        <v>59</v>
      </c>
      <c r="X122" t="s">
        <v>460</v>
      </c>
      <c r="Y122" t="s">
        <v>45</v>
      </c>
      <c r="Z122">
        <v>20</v>
      </c>
      <c r="AA122">
        <v>6</v>
      </c>
      <c r="AB122" t="s">
        <v>46</v>
      </c>
      <c r="AC122" t="s">
        <v>47</v>
      </c>
      <c r="AD122" t="s">
        <v>461</v>
      </c>
      <c r="AE122" t="s">
        <v>462</v>
      </c>
    </row>
    <row r="123" spans="1:31" x14ac:dyDescent="0.2">
      <c r="A123" t="s">
        <v>31</v>
      </c>
      <c r="B123" t="s">
        <v>438</v>
      </c>
      <c r="C123">
        <v>7</v>
      </c>
      <c r="D123" s="1">
        <v>40253</v>
      </c>
      <c r="E123" t="s">
        <v>33</v>
      </c>
      <c r="F123" t="s">
        <v>34</v>
      </c>
      <c r="G123" t="s">
        <v>35</v>
      </c>
      <c r="H123" t="s">
        <v>52</v>
      </c>
      <c r="I123" t="s">
        <v>52</v>
      </c>
      <c r="J123" t="s">
        <v>54</v>
      </c>
      <c r="K123">
        <v>204</v>
      </c>
      <c r="L123">
        <v>2</v>
      </c>
      <c r="M123">
        <v>203</v>
      </c>
      <c r="N123">
        <v>3</v>
      </c>
      <c r="O123" t="s">
        <v>35</v>
      </c>
      <c r="P123" t="s">
        <v>38</v>
      </c>
      <c r="Q123">
        <v>0</v>
      </c>
      <c r="R123">
        <v>8</v>
      </c>
      <c r="S123" t="s">
        <v>359</v>
      </c>
      <c r="T123" t="s">
        <v>293</v>
      </c>
      <c r="U123" t="s">
        <v>454</v>
      </c>
      <c r="V123" t="s">
        <v>90</v>
      </c>
      <c r="W123" t="s">
        <v>81</v>
      </c>
      <c r="X123" t="s">
        <v>463</v>
      </c>
      <c r="Y123" t="s">
        <v>45</v>
      </c>
      <c r="Z123">
        <v>20</v>
      </c>
      <c r="AA123">
        <v>6</v>
      </c>
      <c r="AB123" t="s">
        <v>46</v>
      </c>
      <c r="AC123" t="s">
        <v>47</v>
      </c>
      <c r="AD123" t="s">
        <v>464</v>
      </c>
      <c r="AE123" t="s">
        <v>465</v>
      </c>
    </row>
    <row r="124" spans="1:31" x14ac:dyDescent="0.2">
      <c r="A124" t="s">
        <v>31</v>
      </c>
      <c r="B124" t="s">
        <v>438</v>
      </c>
      <c r="C124">
        <v>8</v>
      </c>
      <c r="D124" s="1">
        <v>40253</v>
      </c>
      <c r="E124" t="s">
        <v>75</v>
      </c>
      <c r="F124" t="s">
        <v>76</v>
      </c>
      <c r="G124" t="s">
        <v>36</v>
      </c>
      <c r="H124" t="s">
        <v>53</v>
      </c>
      <c r="I124" t="s">
        <v>53</v>
      </c>
      <c r="J124" t="s">
        <v>54</v>
      </c>
      <c r="K124">
        <v>109</v>
      </c>
      <c r="L124">
        <v>10</v>
      </c>
      <c r="M124">
        <v>164</v>
      </c>
      <c r="N124">
        <v>3</v>
      </c>
      <c r="O124" t="s">
        <v>53</v>
      </c>
      <c r="P124" t="s">
        <v>38</v>
      </c>
      <c r="Q124">
        <v>55</v>
      </c>
      <c r="R124">
        <v>0</v>
      </c>
      <c r="S124" t="s">
        <v>136</v>
      </c>
      <c r="T124" t="s">
        <v>274</v>
      </c>
      <c r="U124" t="s">
        <v>312</v>
      </c>
      <c r="V124" t="s">
        <v>43</v>
      </c>
      <c r="W124" t="s">
        <v>297</v>
      </c>
      <c r="X124" t="s">
        <v>450</v>
      </c>
      <c r="Y124" t="s">
        <v>45</v>
      </c>
      <c r="Z124">
        <v>20</v>
      </c>
      <c r="AA124">
        <v>6</v>
      </c>
      <c r="AB124" t="s">
        <v>46</v>
      </c>
      <c r="AC124" t="s">
        <v>47</v>
      </c>
      <c r="AD124" t="s">
        <v>466</v>
      </c>
      <c r="AE124" t="s">
        <v>467</v>
      </c>
    </row>
    <row r="125" spans="1:31" x14ac:dyDescent="0.2">
      <c r="A125" t="s">
        <v>31</v>
      </c>
      <c r="B125" t="s">
        <v>438</v>
      </c>
      <c r="C125">
        <v>9</v>
      </c>
      <c r="D125" s="1">
        <v>40254</v>
      </c>
      <c r="E125" t="s">
        <v>63</v>
      </c>
      <c r="F125" t="s">
        <v>64</v>
      </c>
      <c r="G125" t="s">
        <v>65</v>
      </c>
      <c r="H125" t="s">
        <v>87</v>
      </c>
      <c r="I125" t="s">
        <v>65</v>
      </c>
      <c r="J125" t="s">
        <v>37</v>
      </c>
      <c r="K125">
        <v>120</v>
      </c>
      <c r="L125">
        <v>9</v>
      </c>
      <c r="M125">
        <v>218</v>
      </c>
      <c r="N125">
        <v>7</v>
      </c>
      <c r="O125" t="s">
        <v>87</v>
      </c>
      <c r="P125" t="s">
        <v>38</v>
      </c>
      <c r="Q125">
        <v>98</v>
      </c>
      <c r="R125">
        <v>0</v>
      </c>
      <c r="S125" t="s">
        <v>266</v>
      </c>
      <c r="T125" t="s">
        <v>56</v>
      </c>
      <c r="U125" t="s">
        <v>137</v>
      </c>
      <c r="V125" t="s">
        <v>124</v>
      </c>
      <c r="W125" t="s">
        <v>111</v>
      </c>
      <c r="X125" t="s">
        <v>146</v>
      </c>
      <c r="Y125" t="s">
        <v>45</v>
      </c>
      <c r="Z125">
        <v>20</v>
      </c>
      <c r="AA125">
        <v>6</v>
      </c>
      <c r="AB125" t="s">
        <v>46</v>
      </c>
      <c r="AC125" t="s">
        <v>47</v>
      </c>
      <c r="AD125" t="s">
        <v>468</v>
      </c>
      <c r="AE125" t="s">
        <v>469</v>
      </c>
    </row>
    <row r="126" spans="1:31" x14ac:dyDescent="0.2">
      <c r="A126" t="s">
        <v>31</v>
      </c>
      <c r="B126" t="s">
        <v>438</v>
      </c>
      <c r="C126">
        <v>10</v>
      </c>
      <c r="D126" s="1">
        <v>40255</v>
      </c>
      <c r="E126" t="s">
        <v>33</v>
      </c>
      <c r="F126" t="s">
        <v>34</v>
      </c>
      <c r="G126" t="s">
        <v>35</v>
      </c>
      <c r="H126" t="s">
        <v>66</v>
      </c>
      <c r="I126" t="s">
        <v>35</v>
      </c>
      <c r="J126" t="s">
        <v>37</v>
      </c>
      <c r="K126">
        <v>93</v>
      </c>
      <c r="L126">
        <v>0</v>
      </c>
      <c r="M126">
        <v>92</v>
      </c>
      <c r="N126">
        <v>10</v>
      </c>
      <c r="O126" t="s">
        <v>35</v>
      </c>
      <c r="P126" t="s">
        <v>38</v>
      </c>
      <c r="Q126">
        <v>0</v>
      </c>
      <c r="R126">
        <v>10</v>
      </c>
      <c r="S126" t="s">
        <v>359</v>
      </c>
      <c r="T126" t="s">
        <v>293</v>
      </c>
      <c r="U126" t="s">
        <v>81</v>
      </c>
      <c r="V126" t="s">
        <v>90</v>
      </c>
      <c r="W126" t="s">
        <v>454</v>
      </c>
      <c r="X126" t="s">
        <v>463</v>
      </c>
      <c r="Y126" t="s">
        <v>45</v>
      </c>
      <c r="Z126">
        <v>20</v>
      </c>
      <c r="AA126">
        <v>6</v>
      </c>
      <c r="AB126" t="s">
        <v>46</v>
      </c>
      <c r="AC126" t="s">
        <v>47</v>
      </c>
      <c r="AD126" t="s">
        <v>464</v>
      </c>
      <c r="AE126" t="s">
        <v>470</v>
      </c>
    </row>
    <row r="127" spans="1:31" x14ac:dyDescent="0.2">
      <c r="A127" t="s">
        <v>31</v>
      </c>
      <c r="B127" t="s">
        <v>438</v>
      </c>
      <c r="C127">
        <v>11</v>
      </c>
      <c r="D127" s="1">
        <v>40256</v>
      </c>
      <c r="E127" t="s">
        <v>63</v>
      </c>
      <c r="F127" t="s">
        <v>64</v>
      </c>
      <c r="G127" t="s">
        <v>65</v>
      </c>
      <c r="H127" t="s">
        <v>53</v>
      </c>
      <c r="I127" t="s">
        <v>65</v>
      </c>
      <c r="J127" t="s">
        <v>54</v>
      </c>
      <c r="K127">
        <v>185</v>
      </c>
      <c r="L127">
        <v>6</v>
      </c>
      <c r="M127">
        <v>190</v>
      </c>
      <c r="N127">
        <v>5</v>
      </c>
      <c r="O127" t="s">
        <v>53</v>
      </c>
      <c r="P127" t="s">
        <v>38</v>
      </c>
      <c r="Q127">
        <v>0</v>
      </c>
      <c r="R127">
        <v>5</v>
      </c>
      <c r="S127" t="s">
        <v>110</v>
      </c>
      <c r="T127" t="s">
        <v>56</v>
      </c>
      <c r="U127" t="s">
        <v>137</v>
      </c>
      <c r="V127" t="s">
        <v>124</v>
      </c>
      <c r="W127" t="s">
        <v>111</v>
      </c>
      <c r="X127" t="s">
        <v>146</v>
      </c>
      <c r="Y127" t="s">
        <v>45</v>
      </c>
      <c r="Z127">
        <v>20</v>
      </c>
      <c r="AA127">
        <v>6</v>
      </c>
      <c r="AB127" t="s">
        <v>46</v>
      </c>
      <c r="AC127" t="s">
        <v>47</v>
      </c>
      <c r="AD127" t="s">
        <v>471</v>
      </c>
      <c r="AE127" t="s">
        <v>472</v>
      </c>
    </row>
    <row r="128" spans="1:31" x14ac:dyDescent="0.2">
      <c r="A128" t="s">
        <v>31</v>
      </c>
      <c r="B128" t="s">
        <v>438</v>
      </c>
      <c r="C128">
        <v>12</v>
      </c>
      <c r="D128" s="1">
        <v>40256</v>
      </c>
      <c r="E128" t="s">
        <v>473</v>
      </c>
      <c r="F128" t="s">
        <v>474</v>
      </c>
      <c r="G128" t="s">
        <v>77</v>
      </c>
      <c r="H128" t="s">
        <v>52</v>
      </c>
      <c r="I128" t="s">
        <v>52</v>
      </c>
      <c r="J128" t="s">
        <v>37</v>
      </c>
      <c r="K128">
        <v>170</v>
      </c>
      <c r="L128">
        <v>8</v>
      </c>
      <c r="M128">
        <v>164</v>
      </c>
      <c r="N128">
        <v>8</v>
      </c>
      <c r="O128" t="s">
        <v>77</v>
      </c>
      <c r="P128" t="s">
        <v>38</v>
      </c>
      <c r="Q128">
        <v>6</v>
      </c>
      <c r="R128">
        <v>0</v>
      </c>
      <c r="S128" t="s">
        <v>475</v>
      </c>
      <c r="T128" t="s">
        <v>68</v>
      </c>
      <c r="U128" t="s">
        <v>80</v>
      </c>
      <c r="V128" t="s">
        <v>297</v>
      </c>
      <c r="W128" t="s">
        <v>43</v>
      </c>
      <c r="X128" t="s">
        <v>476</v>
      </c>
      <c r="Y128" t="s">
        <v>45</v>
      </c>
      <c r="Z128">
        <v>20</v>
      </c>
      <c r="AA128">
        <v>6</v>
      </c>
      <c r="AB128" t="s">
        <v>46</v>
      </c>
      <c r="AC128" t="s">
        <v>47</v>
      </c>
      <c r="AD128" t="s">
        <v>441</v>
      </c>
      <c r="AE128" t="s">
        <v>477</v>
      </c>
    </row>
    <row r="129" spans="1:31" x14ac:dyDescent="0.2">
      <c r="A129" t="s">
        <v>31</v>
      </c>
      <c r="B129" t="s">
        <v>438</v>
      </c>
      <c r="C129">
        <v>13</v>
      </c>
      <c r="D129" s="1">
        <v>40257</v>
      </c>
      <c r="E129" t="s">
        <v>458</v>
      </c>
      <c r="F129" t="s">
        <v>459</v>
      </c>
      <c r="G129" t="s">
        <v>66</v>
      </c>
      <c r="H129" t="s">
        <v>36</v>
      </c>
      <c r="I129" t="s">
        <v>66</v>
      </c>
      <c r="J129" t="s">
        <v>54</v>
      </c>
      <c r="K129">
        <v>168</v>
      </c>
      <c r="L129">
        <v>7</v>
      </c>
      <c r="M129">
        <v>134</v>
      </c>
      <c r="N129">
        <v>5</v>
      </c>
      <c r="O129" t="s">
        <v>66</v>
      </c>
      <c r="P129" t="s">
        <v>38</v>
      </c>
      <c r="Q129">
        <v>34</v>
      </c>
      <c r="R129">
        <v>0</v>
      </c>
      <c r="S129" t="s">
        <v>478</v>
      </c>
      <c r="T129" t="s">
        <v>440</v>
      </c>
      <c r="U129" t="s">
        <v>42</v>
      </c>
      <c r="V129" t="s">
        <v>59</v>
      </c>
      <c r="W129" t="s">
        <v>188</v>
      </c>
      <c r="X129" t="s">
        <v>460</v>
      </c>
      <c r="Y129" t="s">
        <v>45</v>
      </c>
      <c r="Z129">
        <v>20</v>
      </c>
      <c r="AA129">
        <v>6</v>
      </c>
      <c r="AB129" t="s">
        <v>46</v>
      </c>
      <c r="AC129" t="s">
        <v>47</v>
      </c>
      <c r="AD129" t="s">
        <v>479</v>
      </c>
      <c r="AE129" t="s">
        <v>480</v>
      </c>
    </row>
    <row r="130" spans="1:31" x14ac:dyDescent="0.2">
      <c r="A130" t="s">
        <v>31</v>
      </c>
      <c r="B130" t="s">
        <v>438</v>
      </c>
      <c r="C130">
        <v>14</v>
      </c>
      <c r="D130" s="1">
        <v>40257</v>
      </c>
      <c r="E130" t="s">
        <v>85</v>
      </c>
      <c r="F130" t="s">
        <v>443</v>
      </c>
      <c r="G130" t="s">
        <v>87</v>
      </c>
      <c r="H130" t="s">
        <v>35</v>
      </c>
      <c r="I130" t="s">
        <v>87</v>
      </c>
      <c r="J130" t="s">
        <v>54</v>
      </c>
      <c r="K130">
        <v>151</v>
      </c>
      <c r="L130">
        <v>9</v>
      </c>
      <c r="M130">
        <v>155</v>
      </c>
      <c r="N130">
        <v>3</v>
      </c>
      <c r="O130" t="s">
        <v>35</v>
      </c>
      <c r="P130" t="s">
        <v>38</v>
      </c>
      <c r="Q130">
        <v>0</v>
      </c>
      <c r="R130">
        <v>7</v>
      </c>
      <c r="S130" t="s">
        <v>359</v>
      </c>
      <c r="T130" t="s">
        <v>274</v>
      </c>
      <c r="U130" t="s">
        <v>312</v>
      </c>
      <c r="V130" t="s">
        <v>354</v>
      </c>
      <c r="W130" t="s">
        <v>124</v>
      </c>
      <c r="X130" t="s">
        <v>92</v>
      </c>
      <c r="Y130" t="s">
        <v>45</v>
      </c>
      <c r="Z130">
        <v>20</v>
      </c>
      <c r="AA130">
        <v>6</v>
      </c>
      <c r="AB130" t="s">
        <v>46</v>
      </c>
      <c r="AC130" t="s">
        <v>47</v>
      </c>
      <c r="AD130" t="s">
        <v>481</v>
      </c>
      <c r="AE130" t="s">
        <v>482</v>
      </c>
    </row>
    <row r="131" spans="1:31" x14ac:dyDescent="0.2">
      <c r="A131" t="s">
        <v>31</v>
      </c>
      <c r="B131" t="s">
        <v>438</v>
      </c>
      <c r="C131">
        <v>15</v>
      </c>
      <c r="D131" s="1">
        <v>40258</v>
      </c>
      <c r="E131" t="s">
        <v>473</v>
      </c>
      <c r="F131" t="s">
        <v>474</v>
      </c>
      <c r="G131" t="s">
        <v>77</v>
      </c>
      <c r="H131" t="s">
        <v>65</v>
      </c>
      <c r="I131" t="s">
        <v>77</v>
      </c>
      <c r="J131" t="s">
        <v>54</v>
      </c>
      <c r="K131">
        <v>171</v>
      </c>
      <c r="L131">
        <v>6</v>
      </c>
      <c r="M131">
        <v>161</v>
      </c>
      <c r="N131">
        <v>9</v>
      </c>
      <c r="O131" t="s">
        <v>77</v>
      </c>
      <c r="P131" t="s">
        <v>38</v>
      </c>
      <c r="Q131">
        <v>10</v>
      </c>
      <c r="R131">
        <v>0</v>
      </c>
      <c r="S131" t="s">
        <v>475</v>
      </c>
      <c r="T131" t="s">
        <v>68</v>
      </c>
      <c r="U131" t="s">
        <v>80</v>
      </c>
      <c r="V131" t="s">
        <v>297</v>
      </c>
      <c r="W131" t="s">
        <v>43</v>
      </c>
      <c r="X131" t="s">
        <v>476</v>
      </c>
      <c r="Y131" t="s">
        <v>45</v>
      </c>
      <c r="Z131">
        <v>20</v>
      </c>
      <c r="AA131">
        <v>6</v>
      </c>
      <c r="AB131" t="s">
        <v>46</v>
      </c>
      <c r="AC131" t="s">
        <v>47</v>
      </c>
      <c r="AD131" t="s">
        <v>483</v>
      </c>
      <c r="AE131" t="s">
        <v>484</v>
      </c>
    </row>
    <row r="132" spans="1:31" x14ac:dyDescent="0.2">
      <c r="A132" t="s">
        <v>31</v>
      </c>
      <c r="B132" t="s">
        <v>438</v>
      </c>
      <c r="C132">
        <v>16</v>
      </c>
      <c r="D132" s="1">
        <v>40258</v>
      </c>
      <c r="E132" t="s">
        <v>108</v>
      </c>
      <c r="F132" t="s">
        <v>109</v>
      </c>
      <c r="G132" t="s">
        <v>53</v>
      </c>
      <c r="H132" t="s">
        <v>52</v>
      </c>
      <c r="I132" t="s">
        <v>53</v>
      </c>
      <c r="J132" t="s">
        <v>37</v>
      </c>
      <c r="K132">
        <v>145</v>
      </c>
      <c r="L132">
        <v>9</v>
      </c>
      <c r="M132">
        <v>146</v>
      </c>
      <c r="N132">
        <v>9</v>
      </c>
      <c r="O132" t="s">
        <v>304</v>
      </c>
      <c r="P132" t="s">
        <v>305</v>
      </c>
      <c r="Q132">
        <v>0</v>
      </c>
      <c r="R132">
        <v>0</v>
      </c>
      <c r="S132" t="s">
        <v>485</v>
      </c>
      <c r="T132" t="s">
        <v>56</v>
      </c>
      <c r="U132" t="s">
        <v>81</v>
      </c>
      <c r="V132" t="s">
        <v>90</v>
      </c>
      <c r="W132" t="s">
        <v>454</v>
      </c>
      <c r="X132" t="s">
        <v>72</v>
      </c>
      <c r="Y132" t="s">
        <v>45</v>
      </c>
      <c r="Z132">
        <v>20</v>
      </c>
      <c r="AA132">
        <v>6</v>
      </c>
      <c r="AB132" t="s">
        <v>46</v>
      </c>
      <c r="AC132" t="s">
        <v>47</v>
      </c>
      <c r="AD132" t="s">
        <v>486</v>
      </c>
      <c r="AE132" t="s">
        <v>487</v>
      </c>
    </row>
    <row r="133" spans="1:31" x14ac:dyDescent="0.2">
      <c r="A133" t="s">
        <v>31</v>
      </c>
      <c r="B133" t="s">
        <v>438</v>
      </c>
      <c r="C133">
        <v>17</v>
      </c>
      <c r="D133" s="1">
        <v>40259</v>
      </c>
      <c r="E133" t="s">
        <v>85</v>
      </c>
      <c r="F133" t="s">
        <v>443</v>
      </c>
      <c r="G133" t="s">
        <v>87</v>
      </c>
      <c r="H133" t="s">
        <v>36</v>
      </c>
      <c r="I133" t="s">
        <v>36</v>
      </c>
      <c r="J133" t="s">
        <v>54</v>
      </c>
      <c r="K133">
        <v>156</v>
      </c>
      <c r="L133">
        <v>3</v>
      </c>
      <c r="M133">
        <v>155</v>
      </c>
      <c r="N133">
        <v>3</v>
      </c>
      <c r="O133" t="s">
        <v>87</v>
      </c>
      <c r="P133" t="s">
        <v>38</v>
      </c>
      <c r="Q133">
        <v>0</v>
      </c>
      <c r="R133">
        <v>7</v>
      </c>
      <c r="S133" t="s">
        <v>266</v>
      </c>
      <c r="T133" t="s">
        <v>274</v>
      </c>
      <c r="U133" t="s">
        <v>354</v>
      </c>
      <c r="V133" t="s">
        <v>286</v>
      </c>
      <c r="W133" t="s">
        <v>312</v>
      </c>
      <c r="X133" t="s">
        <v>444</v>
      </c>
      <c r="Y133" t="s">
        <v>45</v>
      </c>
      <c r="Z133">
        <v>20</v>
      </c>
      <c r="AA133">
        <v>6</v>
      </c>
      <c r="AB133" t="s">
        <v>46</v>
      </c>
      <c r="AC133" t="s">
        <v>47</v>
      </c>
      <c r="AD133" t="s">
        <v>488</v>
      </c>
      <c r="AE133" t="s">
        <v>489</v>
      </c>
    </row>
    <row r="134" spans="1:31" x14ac:dyDescent="0.2">
      <c r="A134" t="s">
        <v>31</v>
      </c>
      <c r="B134" t="s">
        <v>438</v>
      </c>
      <c r="C134">
        <v>18</v>
      </c>
      <c r="D134" s="1">
        <v>40260</v>
      </c>
      <c r="E134" t="s">
        <v>33</v>
      </c>
      <c r="F134" t="s">
        <v>34</v>
      </c>
      <c r="G134" t="s">
        <v>35</v>
      </c>
      <c r="H134" t="s">
        <v>53</v>
      </c>
      <c r="I134" t="s">
        <v>53</v>
      </c>
      <c r="J134" t="s">
        <v>37</v>
      </c>
      <c r="K134">
        <v>171</v>
      </c>
      <c r="L134">
        <v>5</v>
      </c>
      <c r="M134">
        <v>135</v>
      </c>
      <c r="N134">
        <v>7</v>
      </c>
      <c r="O134" t="s">
        <v>35</v>
      </c>
      <c r="P134" t="s">
        <v>38</v>
      </c>
      <c r="Q134">
        <v>36</v>
      </c>
      <c r="R134">
        <v>0</v>
      </c>
      <c r="S134" t="s">
        <v>490</v>
      </c>
      <c r="T134" t="s">
        <v>440</v>
      </c>
      <c r="U134" t="s">
        <v>42</v>
      </c>
      <c r="V134" t="s">
        <v>59</v>
      </c>
      <c r="W134" t="s">
        <v>188</v>
      </c>
      <c r="X134" t="s">
        <v>463</v>
      </c>
      <c r="Y134" t="s">
        <v>45</v>
      </c>
      <c r="Z134">
        <v>20</v>
      </c>
      <c r="AA134">
        <v>6</v>
      </c>
      <c r="AB134" t="s">
        <v>46</v>
      </c>
      <c r="AC134" t="s">
        <v>47</v>
      </c>
      <c r="AD134" t="s">
        <v>491</v>
      </c>
      <c r="AE134" t="s">
        <v>492</v>
      </c>
    </row>
    <row r="135" spans="1:31" x14ac:dyDescent="0.2">
      <c r="A135" t="s">
        <v>31</v>
      </c>
      <c r="B135" t="s">
        <v>438</v>
      </c>
      <c r="C135">
        <v>19</v>
      </c>
      <c r="D135" s="1">
        <v>40261</v>
      </c>
      <c r="E135" t="s">
        <v>50</v>
      </c>
      <c r="F135" t="s">
        <v>51</v>
      </c>
      <c r="G135" t="s">
        <v>52</v>
      </c>
      <c r="H135" t="s">
        <v>66</v>
      </c>
      <c r="I135" t="s">
        <v>52</v>
      </c>
      <c r="J135" t="s">
        <v>37</v>
      </c>
      <c r="K135">
        <v>152</v>
      </c>
      <c r="L135">
        <v>10</v>
      </c>
      <c r="M135">
        <v>183</v>
      </c>
      <c r="N135">
        <v>5</v>
      </c>
      <c r="O135" t="s">
        <v>66</v>
      </c>
      <c r="P135" t="s">
        <v>38</v>
      </c>
      <c r="Q135">
        <v>31</v>
      </c>
      <c r="R135">
        <v>0</v>
      </c>
      <c r="S135" t="s">
        <v>493</v>
      </c>
      <c r="T135" t="s">
        <v>56</v>
      </c>
      <c r="U135" t="s">
        <v>137</v>
      </c>
      <c r="V135" t="s">
        <v>124</v>
      </c>
      <c r="W135" t="s">
        <v>111</v>
      </c>
      <c r="X135" t="s">
        <v>105</v>
      </c>
      <c r="Y135" t="s">
        <v>45</v>
      </c>
      <c r="Z135">
        <v>20</v>
      </c>
      <c r="AA135">
        <v>6</v>
      </c>
      <c r="AB135" t="s">
        <v>46</v>
      </c>
      <c r="AC135" t="s">
        <v>47</v>
      </c>
      <c r="AD135" t="s">
        <v>494</v>
      </c>
      <c r="AE135" t="s">
        <v>495</v>
      </c>
    </row>
    <row r="136" spans="1:31" x14ac:dyDescent="0.2">
      <c r="A136" t="s">
        <v>31</v>
      </c>
      <c r="B136" t="s">
        <v>438</v>
      </c>
      <c r="C136">
        <v>20</v>
      </c>
      <c r="D136" s="1">
        <v>40262</v>
      </c>
      <c r="E136" t="s">
        <v>33</v>
      </c>
      <c r="F136" t="s">
        <v>34</v>
      </c>
      <c r="G136" t="s">
        <v>35</v>
      </c>
      <c r="H136" t="s">
        <v>65</v>
      </c>
      <c r="I136" t="s">
        <v>35</v>
      </c>
      <c r="J136" t="s">
        <v>37</v>
      </c>
      <c r="K136">
        <v>166</v>
      </c>
      <c r="L136">
        <v>9</v>
      </c>
      <c r="M136">
        <v>183</v>
      </c>
      <c r="N136">
        <v>4</v>
      </c>
      <c r="O136" t="s">
        <v>65</v>
      </c>
      <c r="P136" t="s">
        <v>38</v>
      </c>
      <c r="Q136">
        <v>17</v>
      </c>
      <c r="R136">
        <v>0</v>
      </c>
      <c r="S136" t="s">
        <v>496</v>
      </c>
      <c r="T136" t="s">
        <v>440</v>
      </c>
      <c r="U136" t="s">
        <v>188</v>
      </c>
      <c r="V136" t="s">
        <v>42</v>
      </c>
      <c r="W136" t="s">
        <v>59</v>
      </c>
      <c r="X136" t="s">
        <v>463</v>
      </c>
      <c r="Y136" t="s">
        <v>45</v>
      </c>
      <c r="Z136">
        <v>20</v>
      </c>
      <c r="AA136">
        <v>6</v>
      </c>
      <c r="AB136" t="s">
        <v>46</v>
      </c>
      <c r="AC136" t="s">
        <v>47</v>
      </c>
      <c r="AD136" t="s">
        <v>497</v>
      </c>
      <c r="AE136" t="s">
        <v>498</v>
      </c>
    </row>
    <row r="137" spans="1:31" x14ac:dyDescent="0.2">
      <c r="A137" t="s">
        <v>31</v>
      </c>
      <c r="B137" t="s">
        <v>438</v>
      </c>
      <c r="C137">
        <v>21</v>
      </c>
      <c r="D137" s="1">
        <v>40262</v>
      </c>
      <c r="E137" t="s">
        <v>85</v>
      </c>
      <c r="F137" t="s">
        <v>499</v>
      </c>
      <c r="G137" t="s">
        <v>53</v>
      </c>
      <c r="H137" t="s">
        <v>87</v>
      </c>
      <c r="I137" t="s">
        <v>87</v>
      </c>
      <c r="J137" t="s">
        <v>37</v>
      </c>
      <c r="K137">
        <v>180</v>
      </c>
      <c r="L137">
        <v>2</v>
      </c>
      <c r="M137">
        <v>181</v>
      </c>
      <c r="N137">
        <v>5</v>
      </c>
      <c r="O137" t="s">
        <v>87</v>
      </c>
      <c r="P137" t="s">
        <v>38</v>
      </c>
      <c r="Q137">
        <v>0</v>
      </c>
      <c r="R137">
        <v>5</v>
      </c>
      <c r="S137" t="s">
        <v>266</v>
      </c>
      <c r="T137" t="s">
        <v>68</v>
      </c>
      <c r="U137" t="s">
        <v>43</v>
      </c>
      <c r="V137" t="s">
        <v>80</v>
      </c>
      <c r="W137" t="s">
        <v>297</v>
      </c>
      <c r="X137" t="s">
        <v>92</v>
      </c>
      <c r="Y137" t="s">
        <v>45</v>
      </c>
      <c r="Z137">
        <v>20</v>
      </c>
      <c r="AA137">
        <v>6</v>
      </c>
      <c r="AB137" t="s">
        <v>46</v>
      </c>
      <c r="AC137" t="s">
        <v>47</v>
      </c>
      <c r="AD137" t="s">
        <v>500</v>
      </c>
      <c r="AE137" t="s">
        <v>501</v>
      </c>
    </row>
    <row r="138" spans="1:31" x14ac:dyDescent="0.2">
      <c r="A138" t="s">
        <v>31</v>
      </c>
      <c r="B138" t="s">
        <v>438</v>
      </c>
      <c r="C138">
        <v>22</v>
      </c>
      <c r="D138" s="1">
        <v>40263</v>
      </c>
      <c r="E138" t="s">
        <v>458</v>
      </c>
      <c r="F138" t="s">
        <v>459</v>
      </c>
      <c r="G138" t="s">
        <v>66</v>
      </c>
      <c r="H138" t="s">
        <v>77</v>
      </c>
      <c r="I138" t="s">
        <v>77</v>
      </c>
      <c r="J138" t="s">
        <v>54</v>
      </c>
      <c r="K138">
        <v>151</v>
      </c>
      <c r="L138">
        <v>2</v>
      </c>
      <c r="M138">
        <v>148</v>
      </c>
      <c r="N138">
        <v>9</v>
      </c>
      <c r="O138" t="s">
        <v>66</v>
      </c>
      <c r="P138" t="s">
        <v>38</v>
      </c>
      <c r="Q138">
        <v>0</v>
      </c>
      <c r="R138">
        <v>8</v>
      </c>
      <c r="S138" t="s">
        <v>114</v>
      </c>
      <c r="T138" t="s">
        <v>502</v>
      </c>
      <c r="U138" t="s">
        <v>312</v>
      </c>
      <c r="V138" t="s">
        <v>286</v>
      </c>
      <c r="W138" t="s">
        <v>354</v>
      </c>
      <c r="X138" t="s">
        <v>460</v>
      </c>
      <c r="Y138" t="s">
        <v>45</v>
      </c>
      <c r="Z138">
        <v>20</v>
      </c>
      <c r="AA138">
        <v>6</v>
      </c>
      <c r="AB138" t="s">
        <v>46</v>
      </c>
      <c r="AC138" t="s">
        <v>47</v>
      </c>
      <c r="AD138" t="s">
        <v>503</v>
      </c>
      <c r="AE138" t="s">
        <v>504</v>
      </c>
    </row>
    <row r="139" spans="1:31" x14ac:dyDescent="0.2">
      <c r="A139" t="s">
        <v>31</v>
      </c>
      <c r="B139" t="s">
        <v>438</v>
      </c>
      <c r="C139">
        <v>23</v>
      </c>
      <c r="D139" s="1">
        <v>40264</v>
      </c>
      <c r="E139" t="s">
        <v>50</v>
      </c>
      <c r="F139" t="s">
        <v>51</v>
      </c>
      <c r="G139" t="s">
        <v>52</v>
      </c>
      <c r="H139" t="s">
        <v>36</v>
      </c>
      <c r="I139" t="s">
        <v>36</v>
      </c>
      <c r="J139" t="s">
        <v>54</v>
      </c>
      <c r="K139">
        <v>144</v>
      </c>
      <c r="L139">
        <v>6</v>
      </c>
      <c r="M139">
        <v>183</v>
      </c>
      <c r="N139">
        <v>5</v>
      </c>
      <c r="O139" t="s">
        <v>36</v>
      </c>
      <c r="P139" t="s">
        <v>38</v>
      </c>
      <c r="Q139">
        <v>39</v>
      </c>
      <c r="R139">
        <v>0</v>
      </c>
      <c r="S139" t="s">
        <v>449</v>
      </c>
      <c r="T139" t="s">
        <v>56</v>
      </c>
      <c r="U139" t="s">
        <v>137</v>
      </c>
      <c r="V139" t="s">
        <v>111</v>
      </c>
      <c r="W139" t="s">
        <v>124</v>
      </c>
      <c r="X139" t="s">
        <v>105</v>
      </c>
      <c r="Y139" t="s">
        <v>45</v>
      </c>
      <c r="Z139">
        <v>20</v>
      </c>
      <c r="AA139">
        <v>6</v>
      </c>
      <c r="AB139" t="s">
        <v>46</v>
      </c>
      <c r="AC139" t="s">
        <v>47</v>
      </c>
      <c r="AD139" t="s">
        <v>505</v>
      </c>
      <c r="AE139" t="s">
        <v>506</v>
      </c>
    </row>
    <row r="140" spans="1:31" x14ac:dyDescent="0.2">
      <c r="A140" t="s">
        <v>31</v>
      </c>
      <c r="B140" t="s">
        <v>438</v>
      </c>
      <c r="C140">
        <v>24</v>
      </c>
      <c r="D140" s="1">
        <v>40265</v>
      </c>
      <c r="E140" t="s">
        <v>458</v>
      </c>
      <c r="F140" t="s">
        <v>459</v>
      </c>
      <c r="G140" t="s">
        <v>66</v>
      </c>
      <c r="H140" t="s">
        <v>53</v>
      </c>
      <c r="I140" t="s">
        <v>66</v>
      </c>
      <c r="J140" t="s">
        <v>54</v>
      </c>
      <c r="K140">
        <v>177</v>
      </c>
      <c r="L140">
        <v>8</v>
      </c>
      <c r="M140">
        <v>160</v>
      </c>
      <c r="N140">
        <v>6</v>
      </c>
      <c r="O140" t="s">
        <v>66</v>
      </c>
      <c r="P140" t="s">
        <v>38</v>
      </c>
      <c r="Q140">
        <v>17</v>
      </c>
      <c r="R140">
        <v>0</v>
      </c>
      <c r="S140" t="s">
        <v>507</v>
      </c>
      <c r="T140" t="s">
        <v>502</v>
      </c>
      <c r="U140" t="s">
        <v>354</v>
      </c>
      <c r="V140" t="s">
        <v>286</v>
      </c>
      <c r="W140" t="s">
        <v>312</v>
      </c>
      <c r="X140" t="s">
        <v>460</v>
      </c>
      <c r="Y140" t="s">
        <v>45</v>
      </c>
      <c r="Z140">
        <v>20</v>
      </c>
      <c r="AA140">
        <v>6</v>
      </c>
      <c r="AB140" t="s">
        <v>46</v>
      </c>
      <c r="AC140" t="s">
        <v>47</v>
      </c>
      <c r="AD140" t="s">
        <v>508</v>
      </c>
      <c r="AE140" t="s">
        <v>509</v>
      </c>
    </row>
    <row r="141" spans="1:31" x14ac:dyDescent="0.2">
      <c r="A141" t="s">
        <v>31</v>
      </c>
      <c r="B141" t="s">
        <v>438</v>
      </c>
      <c r="C141">
        <v>25</v>
      </c>
      <c r="D141" s="1">
        <v>40265</v>
      </c>
      <c r="E141" t="s">
        <v>85</v>
      </c>
      <c r="F141" t="s">
        <v>131</v>
      </c>
      <c r="G141" t="s">
        <v>77</v>
      </c>
      <c r="H141" t="s">
        <v>87</v>
      </c>
      <c r="I141" t="s">
        <v>77</v>
      </c>
      <c r="J141" t="s">
        <v>37</v>
      </c>
      <c r="K141">
        <v>131</v>
      </c>
      <c r="L141">
        <v>10</v>
      </c>
      <c r="M141">
        <v>172</v>
      </c>
      <c r="N141">
        <v>7</v>
      </c>
      <c r="O141" t="s">
        <v>87</v>
      </c>
      <c r="P141" t="s">
        <v>38</v>
      </c>
      <c r="Q141">
        <v>41</v>
      </c>
      <c r="R141">
        <v>0</v>
      </c>
      <c r="S141" t="s">
        <v>394</v>
      </c>
      <c r="T141" t="s">
        <v>68</v>
      </c>
      <c r="U141" t="s">
        <v>454</v>
      </c>
      <c r="V141" t="s">
        <v>81</v>
      </c>
      <c r="W141" t="s">
        <v>90</v>
      </c>
      <c r="X141" t="s">
        <v>92</v>
      </c>
      <c r="Y141" t="s">
        <v>45</v>
      </c>
      <c r="Z141">
        <v>20</v>
      </c>
      <c r="AA141">
        <v>6</v>
      </c>
      <c r="AB141" t="s">
        <v>46</v>
      </c>
      <c r="AC141" t="s">
        <v>47</v>
      </c>
      <c r="AD141" t="s">
        <v>510</v>
      </c>
      <c r="AE141" t="s">
        <v>511</v>
      </c>
    </row>
    <row r="142" spans="1:31" x14ac:dyDescent="0.2">
      <c r="A142" t="s">
        <v>31</v>
      </c>
      <c r="B142" t="s">
        <v>438</v>
      </c>
      <c r="C142">
        <v>26</v>
      </c>
      <c r="D142" s="1">
        <v>40266</v>
      </c>
      <c r="E142" t="s">
        <v>63</v>
      </c>
      <c r="F142" t="s">
        <v>64</v>
      </c>
      <c r="G142" t="s">
        <v>65</v>
      </c>
      <c r="H142" t="s">
        <v>36</v>
      </c>
      <c r="I142" t="s">
        <v>65</v>
      </c>
      <c r="J142" t="s">
        <v>54</v>
      </c>
      <c r="K142">
        <v>177</v>
      </c>
      <c r="L142">
        <v>4</v>
      </c>
      <c r="M142">
        <v>137</v>
      </c>
      <c r="N142">
        <v>9</v>
      </c>
      <c r="O142" t="s">
        <v>65</v>
      </c>
      <c r="P142" t="s">
        <v>38</v>
      </c>
      <c r="Q142">
        <v>40</v>
      </c>
      <c r="R142">
        <v>0</v>
      </c>
      <c r="S142" t="s">
        <v>512</v>
      </c>
      <c r="T142" t="s">
        <v>502</v>
      </c>
      <c r="U142" t="s">
        <v>354</v>
      </c>
      <c r="V142" t="s">
        <v>286</v>
      </c>
      <c r="W142" t="s">
        <v>312</v>
      </c>
      <c r="X142" t="s">
        <v>146</v>
      </c>
      <c r="Y142" t="s">
        <v>45</v>
      </c>
      <c r="Z142">
        <v>20</v>
      </c>
      <c r="AA142">
        <v>6</v>
      </c>
      <c r="AB142" t="s">
        <v>46</v>
      </c>
      <c r="AC142" t="s">
        <v>47</v>
      </c>
      <c r="AD142" t="s">
        <v>513</v>
      </c>
      <c r="AE142" t="s">
        <v>514</v>
      </c>
    </row>
    <row r="143" spans="1:31" x14ac:dyDescent="0.2">
      <c r="A143" t="s">
        <v>31</v>
      </c>
      <c r="B143" t="s">
        <v>438</v>
      </c>
      <c r="C143">
        <v>27</v>
      </c>
      <c r="D143" s="1">
        <v>40267</v>
      </c>
      <c r="E143" t="s">
        <v>85</v>
      </c>
      <c r="F143" t="s">
        <v>443</v>
      </c>
      <c r="G143" t="s">
        <v>87</v>
      </c>
      <c r="H143" t="s">
        <v>52</v>
      </c>
      <c r="I143" t="s">
        <v>87</v>
      </c>
      <c r="J143" t="s">
        <v>37</v>
      </c>
      <c r="K143">
        <v>164</v>
      </c>
      <c r="L143">
        <v>6</v>
      </c>
      <c r="M143">
        <v>163</v>
      </c>
      <c r="N143">
        <v>10</v>
      </c>
      <c r="O143" t="s">
        <v>87</v>
      </c>
      <c r="P143" t="s">
        <v>38</v>
      </c>
      <c r="Q143">
        <v>0</v>
      </c>
      <c r="R143">
        <v>4</v>
      </c>
      <c r="S143" t="s">
        <v>515</v>
      </c>
      <c r="T143" t="s">
        <v>56</v>
      </c>
      <c r="U143" t="s">
        <v>137</v>
      </c>
      <c r="V143" t="s">
        <v>124</v>
      </c>
      <c r="W143" t="s">
        <v>111</v>
      </c>
      <c r="X143" t="s">
        <v>444</v>
      </c>
      <c r="Y143" t="s">
        <v>45</v>
      </c>
      <c r="Z143">
        <v>20</v>
      </c>
      <c r="AA143">
        <v>6</v>
      </c>
      <c r="AB143" t="s">
        <v>46</v>
      </c>
      <c r="AC143" t="s">
        <v>47</v>
      </c>
      <c r="AD143" t="s">
        <v>516</v>
      </c>
      <c r="AE143" t="s">
        <v>517</v>
      </c>
    </row>
    <row r="144" spans="1:31" x14ac:dyDescent="0.2">
      <c r="A144" t="s">
        <v>31</v>
      </c>
      <c r="B144" t="s">
        <v>438</v>
      </c>
      <c r="C144">
        <v>28</v>
      </c>
      <c r="D144" s="1">
        <v>40268</v>
      </c>
      <c r="E144" t="s">
        <v>108</v>
      </c>
      <c r="F144" t="s">
        <v>109</v>
      </c>
      <c r="G144" t="s">
        <v>53</v>
      </c>
      <c r="H144" t="s">
        <v>35</v>
      </c>
      <c r="I144" t="s">
        <v>35</v>
      </c>
      <c r="J144" t="s">
        <v>54</v>
      </c>
      <c r="K144">
        <v>162</v>
      </c>
      <c r="L144">
        <v>5</v>
      </c>
      <c r="M144">
        <v>161</v>
      </c>
      <c r="N144">
        <v>4</v>
      </c>
      <c r="O144" t="s">
        <v>53</v>
      </c>
      <c r="P144" t="s">
        <v>38</v>
      </c>
      <c r="Q144">
        <v>0</v>
      </c>
      <c r="R144">
        <v>5</v>
      </c>
      <c r="S144" t="s">
        <v>518</v>
      </c>
      <c r="T144" t="s">
        <v>440</v>
      </c>
      <c r="U144" t="s">
        <v>188</v>
      </c>
      <c r="V144" t="s">
        <v>42</v>
      </c>
      <c r="W144" t="s">
        <v>59</v>
      </c>
      <c r="X144" t="s">
        <v>455</v>
      </c>
      <c r="Y144" t="s">
        <v>45</v>
      </c>
      <c r="Z144">
        <v>20</v>
      </c>
      <c r="AA144">
        <v>6</v>
      </c>
      <c r="AB144" t="s">
        <v>46</v>
      </c>
      <c r="AC144" t="s">
        <v>47</v>
      </c>
      <c r="AD144" t="s">
        <v>519</v>
      </c>
      <c r="AE144" t="s">
        <v>520</v>
      </c>
    </row>
    <row r="145" spans="1:31" x14ac:dyDescent="0.2">
      <c r="A145" t="s">
        <v>31</v>
      </c>
      <c r="B145" t="s">
        <v>438</v>
      </c>
      <c r="C145">
        <v>29</v>
      </c>
      <c r="D145" s="1">
        <v>40268</v>
      </c>
      <c r="E145" t="s">
        <v>63</v>
      </c>
      <c r="F145" t="s">
        <v>64</v>
      </c>
      <c r="G145" t="s">
        <v>65</v>
      </c>
      <c r="H145" t="s">
        <v>66</v>
      </c>
      <c r="I145" t="s">
        <v>65</v>
      </c>
      <c r="J145" t="s">
        <v>54</v>
      </c>
      <c r="K145">
        <v>188</v>
      </c>
      <c r="L145">
        <v>6</v>
      </c>
      <c r="M145">
        <v>121</v>
      </c>
      <c r="N145">
        <v>10</v>
      </c>
      <c r="O145" t="s">
        <v>65</v>
      </c>
      <c r="P145" t="s">
        <v>38</v>
      </c>
      <c r="Q145">
        <v>67</v>
      </c>
      <c r="R145">
        <v>0</v>
      </c>
      <c r="S145" t="s">
        <v>237</v>
      </c>
      <c r="T145" t="s">
        <v>502</v>
      </c>
      <c r="U145" t="s">
        <v>312</v>
      </c>
      <c r="V145" t="s">
        <v>286</v>
      </c>
      <c r="W145" t="s">
        <v>354</v>
      </c>
      <c r="X145" t="s">
        <v>146</v>
      </c>
      <c r="Y145" t="s">
        <v>45</v>
      </c>
      <c r="Z145">
        <v>20</v>
      </c>
      <c r="AA145">
        <v>6</v>
      </c>
      <c r="AB145" t="s">
        <v>46</v>
      </c>
      <c r="AC145" t="s">
        <v>47</v>
      </c>
      <c r="AD145" t="s">
        <v>521</v>
      </c>
      <c r="AE145" t="s">
        <v>522</v>
      </c>
    </row>
    <row r="146" spans="1:31" x14ac:dyDescent="0.2">
      <c r="A146" t="s">
        <v>31</v>
      </c>
      <c r="B146" t="s">
        <v>438</v>
      </c>
      <c r="C146">
        <v>30</v>
      </c>
      <c r="D146" s="1">
        <v>40269</v>
      </c>
      <c r="E146" t="s">
        <v>75</v>
      </c>
      <c r="F146" t="s">
        <v>76</v>
      </c>
      <c r="G146" t="s">
        <v>36</v>
      </c>
      <c r="H146" t="s">
        <v>77</v>
      </c>
      <c r="I146" t="s">
        <v>36</v>
      </c>
      <c r="J146" t="s">
        <v>54</v>
      </c>
      <c r="K146">
        <v>181</v>
      </c>
      <c r="L146">
        <v>6</v>
      </c>
      <c r="M146">
        <v>157</v>
      </c>
      <c r="N146">
        <v>5</v>
      </c>
      <c r="O146" t="s">
        <v>36</v>
      </c>
      <c r="P146" t="s">
        <v>38</v>
      </c>
      <c r="Q146">
        <v>24</v>
      </c>
      <c r="R146">
        <v>0</v>
      </c>
      <c r="S146" t="s">
        <v>182</v>
      </c>
      <c r="T146" t="s">
        <v>68</v>
      </c>
      <c r="U146" t="s">
        <v>81</v>
      </c>
      <c r="V146" t="s">
        <v>90</v>
      </c>
      <c r="W146" t="s">
        <v>316</v>
      </c>
      <c r="X146" t="s">
        <v>450</v>
      </c>
      <c r="Y146" t="s">
        <v>45</v>
      </c>
      <c r="Z146">
        <v>20</v>
      </c>
      <c r="AA146">
        <v>6</v>
      </c>
      <c r="AB146" t="s">
        <v>46</v>
      </c>
      <c r="AC146" t="s">
        <v>47</v>
      </c>
      <c r="AD146" t="s">
        <v>523</v>
      </c>
      <c r="AE146" t="s">
        <v>524</v>
      </c>
    </row>
    <row r="147" spans="1:31" x14ac:dyDescent="0.2">
      <c r="A147" t="s">
        <v>31</v>
      </c>
      <c r="B147" t="s">
        <v>438</v>
      </c>
      <c r="C147">
        <v>31</v>
      </c>
      <c r="D147" s="1">
        <v>40270</v>
      </c>
      <c r="E147" t="s">
        <v>50</v>
      </c>
      <c r="F147" t="s">
        <v>51</v>
      </c>
      <c r="G147" t="s">
        <v>52</v>
      </c>
      <c r="H147" t="s">
        <v>35</v>
      </c>
      <c r="I147" t="s">
        <v>52</v>
      </c>
      <c r="J147" t="s">
        <v>54</v>
      </c>
      <c r="K147">
        <v>181</v>
      </c>
      <c r="L147">
        <v>5</v>
      </c>
      <c r="M147">
        <v>184</v>
      </c>
      <c r="N147">
        <v>4</v>
      </c>
      <c r="O147" t="s">
        <v>35</v>
      </c>
      <c r="P147" t="s">
        <v>38</v>
      </c>
      <c r="Q147">
        <v>0</v>
      </c>
      <c r="R147">
        <v>6</v>
      </c>
      <c r="S147" t="s">
        <v>525</v>
      </c>
      <c r="T147" t="s">
        <v>293</v>
      </c>
      <c r="U147" t="s">
        <v>80</v>
      </c>
      <c r="V147" t="s">
        <v>297</v>
      </c>
      <c r="W147" t="s">
        <v>43</v>
      </c>
      <c r="X147" t="s">
        <v>105</v>
      </c>
      <c r="Y147" t="s">
        <v>45</v>
      </c>
      <c r="Z147">
        <v>20</v>
      </c>
      <c r="AA147">
        <v>6</v>
      </c>
      <c r="AB147" t="s">
        <v>46</v>
      </c>
      <c r="AC147" t="s">
        <v>47</v>
      </c>
      <c r="AD147" t="s">
        <v>526</v>
      </c>
      <c r="AE147" t="s">
        <v>527</v>
      </c>
    </row>
    <row r="148" spans="1:31" x14ac:dyDescent="0.2">
      <c r="A148" t="s">
        <v>31</v>
      </c>
      <c r="B148" t="s">
        <v>438</v>
      </c>
      <c r="C148">
        <v>32</v>
      </c>
      <c r="D148" s="1">
        <v>40271</v>
      </c>
      <c r="E148" t="s">
        <v>108</v>
      </c>
      <c r="F148" t="s">
        <v>109</v>
      </c>
      <c r="G148" t="s">
        <v>53</v>
      </c>
      <c r="H148" t="s">
        <v>66</v>
      </c>
      <c r="I148" t="s">
        <v>53</v>
      </c>
      <c r="J148" t="s">
        <v>54</v>
      </c>
      <c r="K148">
        <v>246</v>
      </c>
      <c r="L148">
        <v>5</v>
      </c>
      <c r="M148">
        <v>223</v>
      </c>
      <c r="N148">
        <v>5</v>
      </c>
      <c r="O148" t="s">
        <v>53</v>
      </c>
      <c r="P148" t="s">
        <v>38</v>
      </c>
      <c r="Q148">
        <v>23</v>
      </c>
      <c r="R148">
        <v>0</v>
      </c>
      <c r="S148" t="s">
        <v>518</v>
      </c>
      <c r="T148" t="s">
        <v>440</v>
      </c>
      <c r="U148" t="s">
        <v>42</v>
      </c>
      <c r="V148" t="s">
        <v>59</v>
      </c>
      <c r="W148" t="s">
        <v>188</v>
      </c>
      <c r="X148" t="s">
        <v>455</v>
      </c>
      <c r="Y148" t="s">
        <v>45</v>
      </c>
      <c r="Z148">
        <v>20</v>
      </c>
      <c r="AA148">
        <v>6</v>
      </c>
      <c r="AB148" t="s">
        <v>46</v>
      </c>
      <c r="AC148" t="s">
        <v>47</v>
      </c>
      <c r="AD148" t="s">
        <v>528</v>
      </c>
      <c r="AE148" t="s">
        <v>529</v>
      </c>
    </row>
    <row r="149" spans="1:31" x14ac:dyDescent="0.2">
      <c r="A149" t="s">
        <v>31</v>
      </c>
      <c r="B149" t="s">
        <v>438</v>
      </c>
      <c r="C149">
        <v>33</v>
      </c>
      <c r="D149" s="1">
        <v>40271</v>
      </c>
      <c r="E149" t="s">
        <v>85</v>
      </c>
      <c r="F149" t="s">
        <v>443</v>
      </c>
      <c r="G149" t="s">
        <v>87</v>
      </c>
      <c r="H149" t="s">
        <v>77</v>
      </c>
      <c r="I149" t="s">
        <v>87</v>
      </c>
      <c r="J149" t="s">
        <v>54</v>
      </c>
      <c r="K149">
        <v>178</v>
      </c>
      <c r="L149">
        <v>5</v>
      </c>
      <c r="M149">
        <v>115</v>
      </c>
      <c r="N149">
        <v>10</v>
      </c>
      <c r="O149" t="s">
        <v>87</v>
      </c>
      <c r="P149" t="s">
        <v>38</v>
      </c>
      <c r="Q149">
        <v>63</v>
      </c>
      <c r="R149">
        <v>0</v>
      </c>
      <c r="S149" t="s">
        <v>530</v>
      </c>
      <c r="T149" t="s">
        <v>56</v>
      </c>
      <c r="U149" t="s">
        <v>137</v>
      </c>
      <c r="V149" t="s">
        <v>111</v>
      </c>
      <c r="W149" t="s">
        <v>124</v>
      </c>
      <c r="X149" t="s">
        <v>92</v>
      </c>
      <c r="Y149" t="s">
        <v>45</v>
      </c>
      <c r="Z149">
        <v>20</v>
      </c>
      <c r="AA149">
        <v>6</v>
      </c>
      <c r="AB149" t="s">
        <v>46</v>
      </c>
      <c r="AC149" t="s">
        <v>47</v>
      </c>
      <c r="AD149" t="s">
        <v>531</v>
      </c>
      <c r="AE149" t="s">
        <v>532</v>
      </c>
    </row>
    <row r="150" spans="1:31" x14ac:dyDescent="0.2">
      <c r="A150" t="s">
        <v>31</v>
      </c>
      <c r="B150" t="s">
        <v>438</v>
      </c>
      <c r="C150">
        <v>34</v>
      </c>
      <c r="D150" s="1">
        <v>40272</v>
      </c>
      <c r="E150" t="s">
        <v>75</v>
      </c>
      <c r="F150" t="s">
        <v>76</v>
      </c>
      <c r="G150" t="s">
        <v>36</v>
      </c>
      <c r="H150" t="s">
        <v>52</v>
      </c>
      <c r="I150" t="s">
        <v>36</v>
      </c>
      <c r="J150" t="s">
        <v>54</v>
      </c>
      <c r="K150">
        <v>200</v>
      </c>
      <c r="L150">
        <v>3</v>
      </c>
      <c r="M150">
        <v>204</v>
      </c>
      <c r="N150">
        <v>2</v>
      </c>
      <c r="O150" t="s">
        <v>52</v>
      </c>
      <c r="P150" t="s">
        <v>38</v>
      </c>
      <c r="Q150">
        <v>0</v>
      </c>
      <c r="R150">
        <v>8</v>
      </c>
      <c r="S150" t="s">
        <v>212</v>
      </c>
      <c r="T150" t="s">
        <v>40</v>
      </c>
      <c r="U150" t="s">
        <v>316</v>
      </c>
      <c r="V150" t="s">
        <v>90</v>
      </c>
      <c r="W150" t="s">
        <v>81</v>
      </c>
      <c r="X150" t="s">
        <v>450</v>
      </c>
      <c r="Y150" t="s">
        <v>45</v>
      </c>
      <c r="Z150">
        <v>20</v>
      </c>
      <c r="AA150">
        <v>6</v>
      </c>
      <c r="AB150" t="s">
        <v>46</v>
      </c>
      <c r="AC150" t="s">
        <v>47</v>
      </c>
      <c r="AD150" t="s">
        <v>533</v>
      </c>
      <c r="AE150" t="s">
        <v>534</v>
      </c>
    </row>
    <row r="151" spans="1:31" x14ac:dyDescent="0.2">
      <c r="A151" t="s">
        <v>31</v>
      </c>
      <c r="B151" t="s">
        <v>438</v>
      </c>
      <c r="C151">
        <v>35</v>
      </c>
      <c r="D151" s="1">
        <v>40272</v>
      </c>
      <c r="E151" t="s">
        <v>63</v>
      </c>
      <c r="F151" t="s">
        <v>64</v>
      </c>
      <c r="G151" t="s">
        <v>65</v>
      </c>
      <c r="H151" t="s">
        <v>35</v>
      </c>
      <c r="I151" t="s">
        <v>65</v>
      </c>
      <c r="J151" t="s">
        <v>54</v>
      </c>
      <c r="K151">
        <v>184</v>
      </c>
      <c r="L151">
        <v>5</v>
      </c>
      <c r="M151">
        <v>147</v>
      </c>
      <c r="N151">
        <v>9</v>
      </c>
      <c r="O151" t="s">
        <v>65</v>
      </c>
      <c r="P151" t="s">
        <v>38</v>
      </c>
      <c r="Q151">
        <v>37</v>
      </c>
      <c r="R151">
        <v>0</v>
      </c>
      <c r="S151" t="s">
        <v>535</v>
      </c>
      <c r="T151" t="s">
        <v>293</v>
      </c>
      <c r="U151" t="s">
        <v>80</v>
      </c>
      <c r="V151" t="s">
        <v>297</v>
      </c>
      <c r="W151" t="s">
        <v>43</v>
      </c>
      <c r="X151" t="s">
        <v>146</v>
      </c>
      <c r="Y151" t="s">
        <v>45</v>
      </c>
      <c r="Z151">
        <v>20</v>
      </c>
      <c r="AA151">
        <v>6</v>
      </c>
      <c r="AB151" t="s">
        <v>46</v>
      </c>
      <c r="AC151" t="s">
        <v>47</v>
      </c>
      <c r="AD151" t="s">
        <v>536</v>
      </c>
      <c r="AE151" t="s">
        <v>537</v>
      </c>
    </row>
    <row r="152" spans="1:31" x14ac:dyDescent="0.2">
      <c r="A152" t="s">
        <v>31</v>
      </c>
      <c r="B152" t="s">
        <v>438</v>
      </c>
      <c r="C152">
        <v>36</v>
      </c>
      <c r="D152" s="1">
        <v>40273</v>
      </c>
      <c r="E152" t="s">
        <v>538</v>
      </c>
      <c r="F152" t="s">
        <v>539</v>
      </c>
      <c r="G152" t="s">
        <v>77</v>
      </c>
      <c r="H152" t="s">
        <v>66</v>
      </c>
      <c r="I152" t="s">
        <v>66</v>
      </c>
      <c r="J152" t="s">
        <v>54</v>
      </c>
      <c r="K152">
        <v>157</v>
      </c>
      <c r="L152">
        <v>10</v>
      </c>
      <c r="M152">
        <v>159</v>
      </c>
      <c r="N152">
        <v>10</v>
      </c>
      <c r="O152" t="s">
        <v>66</v>
      </c>
      <c r="P152" t="s">
        <v>38</v>
      </c>
      <c r="Q152">
        <v>2</v>
      </c>
      <c r="R152">
        <v>0</v>
      </c>
      <c r="S152" t="s">
        <v>402</v>
      </c>
      <c r="T152" t="s">
        <v>502</v>
      </c>
      <c r="U152" t="s">
        <v>312</v>
      </c>
      <c r="V152" t="s">
        <v>286</v>
      </c>
      <c r="W152" t="s">
        <v>354</v>
      </c>
      <c r="X152" t="s">
        <v>444</v>
      </c>
      <c r="Y152" t="s">
        <v>45</v>
      </c>
      <c r="Z152">
        <v>20</v>
      </c>
      <c r="AA152">
        <v>6</v>
      </c>
      <c r="AB152" t="s">
        <v>46</v>
      </c>
      <c r="AC152" t="s">
        <v>47</v>
      </c>
      <c r="AD152" t="s">
        <v>540</v>
      </c>
      <c r="AE152" t="s">
        <v>541</v>
      </c>
    </row>
    <row r="153" spans="1:31" x14ac:dyDescent="0.2">
      <c r="A153" t="s">
        <v>31</v>
      </c>
      <c r="B153" t="s">
        <v>438</v>
      </c>
      <c r="C153">
        <v>37</v>
      </c>
      <c r="D153" s="1">
        <v>40274</v>
      </c>
      <c r="E153" t="s">
        <v>108</v>
      </c>
      <c r="F153" t="s">
        <v>109</v>
      </c>
      <c r="G153" t="s">
        <v>53</v>
      </c>
      <c r="H153" t="s">
        <v>87</v>
      </c>
      <c r="I153" t="s">
        <v>53</v>
      </c>
      <c r="J153" t="s">
        <v>54</v>
      </c>
      <c r="K153">
        <v>165</v>
      </c>
      <c r="L153">
        <v>4</v>
      </c>
      <c r="M153">
        <v>141</v>
      </c>
      <c r="N153">
        <v>9</v>
      </c>
      <c r="O153" t="s">
        <v>53</v>
      </c>
      <c r="P153" t="s">
        <v>38</v>
      </c>
      <c r="Q153">
        <v>24</v>
      </c>
      <c r="R153">
        <v>0</v>
      </c>
      <c r="S153" t="s">
        <v>248</v>
      </c>
      <c r="T153" t="s">
        <v>40</v>
      </c>
      <c r="U153" t="s">
        <v>316</v>
      </c>
      <c r="V153" t="s">
        <v>90</v>
      </c>
      <c r="W153" t="s">
        <v>81</v>
      </c>
      <c r="X153" t="s">
        <v>455</v>
      </c>
      <c r="Y153" t="s">
        <v>45</v>
      </c>
      <c r="Z153">
        <v>20</v>
      </c>
      <c r="AA153">
        <v>6</v>
      </c>
      <c r="AB153" t="s">
        <v>46</v>
      </c>
      <c r="AC153" t="s">
        <v>47</v>
      </c>
      <c r="AD153" t="s">
        <v>542</v>
      </c>
      <c r="AE153" t="s">
        <v>543</v>
      </c>
    </row>
    <row r="154" spans="1:31" x14ac:dyDescent="0.2">
      <c r="A154" t="s">
        <v>31</v>
      </c>
      <c r="B154" t="s">
        <v>438</v>
      </c>
      <c r="C154">
        <v>38</v>
      </c>
      <c r="D154" s="1">
        <v>40275</v>
      </c>
      <c r="E154" t="s">
        <v>95</v>
      </c>
      <c r="F154" t="s">
        <v>96</v>
      </c>
      <c r="G154" t="s">
        <v>66</v>
      </c>
      <c r="H154" t="s">
        <v>52</v>
      </c>
      <c r="I154" t="s">
        <v>52</v>
      </c>
      <c r="J154" t="s">
        <v>54</v>
      </c>
      <c r="K154">
        <v>157</v>
      </c>
      <c r="L154">
        <v>1</v>
      </c>
      <c r="M154">
        <v>153</v>
      </c>
      <c r="N154">
        <v>6</v>
      </c>
      <c r="O154" t="s">
        <v>66</v>
      </c>
      <c r="P154" t="s">
        <v>38</v>
      </c>
      <c r="Q154">
        <v>0</v>
      </c>
      <c r="R154">
        <v>9</v>
      </c>
      <c r="S154" t="s">
        <v>544</v>
      </c>
      <c r="T154" t="s">
        <v>56</v>
      </c>
      <c r="U154" t="s">
        <v>111</v>
      </c>
      <c r="V154" t="s">
        <v>124</v>
      </c>
      <c r="W154" t="s">
        <v>137</v>
      </c>
      <c r="X154" t="s">
        <v>545</v>
      </c>
      <c r="Y154" t="s">
        <v>45</v>
      </c>
      <c r="Z154">
        <v>20</v>
      </c>
      <c r="AA154">
        <v>6</v>
      </c>
      <c r="AB154" t="s">
        <v>46</v>
      </c>
      <c r="AC154" t="s">
        <v>47</v>
      </c>
      <c r="AD154" t="s">
        <v>546</v>
      </c>
      <c r="AE154" t="s">
        <v>547</v>
      </c>
    </row>
    <row r="155" spans="1:31" x14ac:dyDescent="0.2">
      <c r="A155" t="s">
        <v>31</v>
      </c>
      <c r="B155" t="s">
        <v>438</v>
      </c>
      <c r="C155">
        <v>39</v>
      </c>
      <c r="D155" s="1">
        <v>40275</v>
      </c>
      <c r="E155" t="s">
        <v>75</v>
      </c>
      <c r="F155" t="s">
        <v>76</v>
      </c>
      <c r="G155" t="s">
        <v>36</v>
      </c>
      <c r="H155" t="s">
        <v>65</v>
      </c>
      <c r="I155" t="s">
        <v>36</v>
      </c>
      <c r="J155" t="s">
        <v>54</v>
      </c>
      <c r="K155">
        <v>181</v>
      </c>
      <c r="L155">
        <v>3</v>
      </c>
      <c r="M155">
        <v>167</v>
      </c>
      <c r="N155">
        <v>8</v>
      </c>
      <c r="O155" t="s">
        <v>36</v>
      </c>
      <c r="P155" t="s">
        <v>38</v>
      </c>
      <c r="Q155">
        <v>14</v>
      </c>
      <c r="R155">
        <v>0</v>
      </c>
      <c r="S155" t="s">
        <v>182</v>
      </c>
      <c r="T155" t="s">
        <v>440</v>
      </c>
      <c r="U155" t="s">
        <v>188</v>
      </c>
      <c r="V155" t="s">
        <v>42</v>
      </c>
      <c r="W155" t="s">
        <v>59</v>
      </c>
      <c r="X155" t="s">
        <v>450</v>
      </c>
      <c r="Y155" t="s">
        <v>45</v>
      </c>
      <c r="Z155">
        <v>20</v>
      </c>
      <c r="AA155">
        <v>6</v>
      </c>
      <c r="AB155" t="s">
        <v>46</v>
      </c>
      <c r="AC155" t="s">
        <v>47</v>
      </c>
      <c r="AD155" t="s">
        <v>548</v>
      </c>
      <c r="AE155" t="s">
        <v>549</v>
      </c>
    </row>
    <row r="156" spans="1:31" x14ac:dyDescent="0.2">
      <c r="A156" t="s">
        <v>31</v>
      </c>
      <c r="B156" t="s">
        <v>438</v>
      </c>
      <c r="C156">
        <v>40</v>
      </c>
      <c r="D156" s="1">
        <v>40276</v>
      </c>
      <c r="E156" t="s">
        <v>33</v>
      </c>
      <c r="F156" t="s">
        <v>34</v>
      </c>
      <c r="G156" t="s">
        <v>35</v>
      </c>
      <c r="H156" t="s">
        <v>77</v>
      </c>
      <c r="I156" t="s">
        <v>77</v>
      </c>
      <c r="J156" t="s">
        <v>37</v>
      </c>
      <c r="K156">
        <v>184</v>
      </c>
      <c r="L156">
        <v>6</v>
      </c>
      <c r="M156">
        <v>186</v>
      </c>
      <c r="N156">
        <v>3</v>
      </c>
      <c r="O156" t="s">
        <v>77</v>
      </c>
      <c r="P156" t="s">
        <v>38</v>
      </c>
      <c r="Q156">
        <v>0</v>
      </c>
      <c r="R156">
        <v>7</v>
      </c>
      <c r="S156" t="s">
        <v>550</v>
      </c>
      <c r="T156" t="s">
        <v>40</v>
      </c>
      <c r="U156" t="s">
        <v>316</v>
      </c>
      <c r="V156" t="s">
        <v>90</v>
      </c>
      <c r="W156" t="s">
        <v>81</v>
      </c>
      <c r="X156" t="s">
        <v>463</v>
      </c>
      <c r="Y156" t="s">
        <v>45</v>
      </c>
      <c r="Z156">
        <v>20</v>
      </c>
      <c r="AA156">
        <v>6</v>
      </c>
      <c r="AB156" t="s">
        <v>46</v>
      </c>
      <c r="AC156" t="s">
        <v>47</v>
      </c>
      <c r="AD156" t="s">
        <v>551</v>
      </c>
      <c r="AE156" t="s">
        <v>552</v>
      </c>
    </row>
    <row r="157" spans="1:31" x14ac:dyDescent="0.2">
      <c r="A157" t="s">
        <v>31</v>
      </c>
      <c r="B157" t="s">
        <v>438</v>
      </c>
      <c r="C157">
        <v>41</v>
      </c>
      <c r="D157" s="1">
        <v>40277</v>
      </c>
      <c r="E157" t="s">
        <v>50</v>
      </c>
      <c r="F157" t="s">
        <v>51</v>
      </c>
      <c r="G157" t="s">
        <v>52</v>
      </c>
      <c r="H157" t="s">
        <v>87</v>
      </c>
      <c r="I157" t="s">
        <v>87</v>
      </c>
      <c r="J157" t="s">
        <v>54</v>
      </c>
      <c r="K157">
        <v>158</v>
      </c>
      <c r="L157">
        <v>4</v>
      </c>
      <c r="M157">
        <v>154</v>
      </c>
      <c r="N157">
        <v>9</v>
      </c>
      <c r="O157" t="s">
        <v>52</v>
      </c>
      <c r="P157" t="s">
        <v>38</v>
      </c>
      <c r="Q157">
        <v>0</v>
      </c>
      <c r="R157">
        <v>6</v>
      </c>
      <c r="S157" t="s">
        <v>117</v>
      </c>
      <c r="T157" t="s">
        <v>293</v>
      </c>
      <c r="U157" t="s">
        <v>297</v>
      </c>
      <c r="V157" t="s">
        <v>43</v>
      </c>
      <c r="W157" t="s">
        <v>80</v>
      </c>
      <c r="X157" t="s">
        <v>105</v>
      </c>
      <c r="Y157" t="s">
        <v>45</v>
      </c>
      <c r="Z157">
        <v>20</v>
      </c>
      <c r="AA157">
        <v>6</v>
      </c>
      <c r="AB157" t="s">
        <v>46</v>
      </c>
      <c r="AC157" t="s">
        <v>47</v>
      </c>
      <c r="AD157" t="s">
        <v>553</v>
      </c>
      <c r="AE157" t="s">
        <v>554</v>
      </c>
    </row>
    <row r="158" spans="1:31" x14ac:dyDescent="0.2">
      <c r="A158" t="s">
        <v>31</v>
      </c>
      <c r="B158" t="s">
        <v>438</v>
      </c>
      <c r="C158">
        <v>42</v>
      </c>
      <c r="D158" s="1">
        <v>40278</v>
      </c>
      <c r="E158" t="s">
        <v>538</v>
      </c>
      <c r="F158" t="s">
        <v>539</v>
      </c>
      <c r="G158" t="s">
        <v>77</v>
      </c>
      <c r="H158" t="s">
        <v>53</v>
      </c>
      <c r="I158" t="s">
        <v>53</v>
      </c>
      <c r="J158" t="s">
        <v>54</v>
      </c>
      <c r="K158">
        <v>139</v>
      </c>
      <c r="L158">
        <v>4</v>
      </c>
      <c r="M158">
        <v>138</v>
      </c>
      <c r="N158">
        <v>8</v>
      </c>
      <c r="O158" t="s">
        <v>77</v>
      </c>
      <c r="P158" t="s">
        <v>38</v>
      </c>
      <c r="Q158">
        <v>0</v>
      </c>
      <c r="R158">
        <v>6</v>
      </c>
      <c r="S158" t="s">
        <v>555</v>
      </c>
      <c r="T158" t="s">
        <v>502</v>
      </c>
      <c r="U158" t="s">
        <v>312</v>
      </c>
      <c r="V158" t="s">
        <v>286</v>
      </c>
      <c r="W158" t="s">
        <v>354</v>
      </c>
      <c r="X158" t="s">
        <v>444</v>
      </c>
      <c r="Y158" t="s">
        <v>45</v>
      </c>
      <c r="Z158">
        <v>20</v>
      </c>
      <c r="AA158">
        <v>6</v>
      </c>
      <c r="AB158" t="s">
        <v>46</v>
      </c>
      <c r="AC158" t="s">
        <v>47</v>
      </c>
      <c r="AD158" t="s">
        <v>556</v>
      </c>
      <c r="AE158" t="s">
        <v>557</v>
      </c>
    </row>
    <row r="159" spans="1:31" x14ac:dyDescent="0.2">
      <c r="A159" t="s">
        <v>31</v>
      </c>
      <c r="B159" t="s">
        <v>438</v>
      </c>
      <c r="C159">
        <v>43</v>
      </c>
      <c r="D159" s="1">
        <v>40278</v>
      </c>
      <c r="E159" t="s">
        <v>33</v>
      </c>
      <c r="F159" t="s">
        <v>34</v>
      </c>
      <c r="G159" t="s">
        <v>35</v>
      </c>
      <c r="H159" t="s">
        <v>36</v>
      </c>
      <c r="I159" t="s">
        <v>35</v>
      </c>
      <c r="J159" t="s">
        <v>37</v>
      </c>
      <c r="K159">
        <v>162</v>
      </c>
      <c r="L159">
        <v>3</v>
      </c>
      <c r="M159">
        <v>160</v>
      </c>
      <c r="N159">
        <v>9</v>
      </c>
      <c r="O159" t="s">
        <v>35</v>
      </c>
      <c r="P159" t="s">
        <v>38</v>
      </c>
      <c r="Q159">
        <v>0</v>
      </c>
      <c r="R159">
        <v>7</v>
      </c>
      <c r="S159" t="s">
        <v>240</v>
      </c>
      <c r="T159" t="s">
        <v>40</v>
      </c>
      <c r="U159" t="s">
        <v>81</v>
      </c>
      <c r="V159" t="s">
        <v>90</v>
      </c>
      <c r="W159" t="s">
        <v>316</v>
      </c>
      <c r="X159" t="s">
        <v>463</v>
      </c>
      <c r="Y159" t="s">
        <v>45</v>
      </c>
      <c r="Z159">
        <v>20</v>
      </c>
      <c r="AA159">
        <v>6</v>
      </c>
      <c r="AB159" t="s">
        <v>46</v>
      </c>
      <c r="AC159" t="s">
        <v>47</v>
      </c>
      <c r="AD159" t="s">
        <v>558</v>
      </c>
      <c r="AE159" t="s">
        <v>559</v>
      </c>
    </row>
    <row r="160" spans="1:31" x14ac:dyDescent="0.2">
      <c r="A160" t="s">
        <v>31</v>
      </c>
      <c r="B160" t="s">
        <v>438</v>
      </c>
      <c r="C160">
        <v>44</v>
      </c>
      <c r="D160" s="1">
        <v>40279</v>
      </c>
      <c r="E160" t="s">
        <v>63</v>
      </c>
      <c r="F160" t="s">
        <v>64</v>
      </c>
      <c r="G160" t="s">
        <v>65</v>
      </c>
      <c r="H160" t="s">
        <v>52</v>
      </c>
      <c r="I160" t="s">
        <v>65</v>
      </c>
      <c r="J160" t="s">
        <v>54</v>
      </c>
      <c r="K160">
        <v>111</v>
      </c>
      <c r="L160">
        <v>10</v>
      </c>
      <c r="M160">
        <v>112</v>
      </c>
      <c r="N160">
        <v>3</v>
      </c>
      <c r="O160" t="s">
        <v>52</v>
      </c>
      <c r="P160" t="s">
        <v>38</v>
      </c>
      <c r="Q160">
        <v>0</v>
      </c>
      <c r="R160">
        <v>7</v>
      </c>
      <c r="S160" t="s">
        <v>560</v>
      </c>
      <c r="T160" t="s">
        <v>293</v>
      </c>
      <c r="U160" t="s">
        <v>80</v>
      </c>
      <c r="V160" t="s">
        <v>43</v>
      </c>
      <c r="W160" t="s">
        <v>297</v>
      </c>
      <c r="X160" t="s">
        <v>146</v>
      </c>
      <c r="Y160" t="s">
        <v>45</v>
      </c>
      <c r="Z160">
        <v>20</v>
      </c>
      <c r="AA160">
        <v>6</v>
      </c>
      <c r="AB160" t="s">
        <v>46</v>
      </c>
      <c r="AC160" t="s">
        <v>47</v>
      </c>
      <c r="AD160" t="s">
        <v>561</v>
      </c>
      <c r="AE160" t="s">
        <v>562</v>
      </c>
    </row>
    <row r="161" spans="1:31" x14ac:dyDescent="0.2">
      <c r="A161" t="s">
        <v>31</v>
      </c>
      <c r="B161" t="s">
        <v>438</v>
      </c>
      <c r="C161">
        <v>45</v>
      </c>
      <c r="D161" s="1">
        <v>40279</v>
      </c>
      <c r="E161" t="s">
        <v>95</v>
      </c>
      <c r="F161" t="s">
        <v>96</v>
      </c>
      <c r="G161" t="s">
        <v>66</v>
      </c>
      <c r="H161" t="s">
        <v>87</v>
      </c>
      <c r="I161" t="s">
        <v>66</v>
      </c>
      <c r="J161" t="s">
        <v>37</v>
      </c>
      <c r="K161">
        <v>137</v>
      </c>
      <c r="L161">
        <v>8</v>
      </c>
      <c r="M161">
        <v>174</v>
      </c>
      <c r="N161">
        <v>5</v>
      </c>
      <c r="O161" t="s">
        <v>87</v>
      </c>
      <c r="P161" t="s">
        <v>38</v>
      </c>
      <c r="Q161">
        <v>37</v>
      </c>
      <c r="R161">
        <v>0</v>
      </c>
      <c r="S161" t="s">
        <v>266</v>
      </c>
      <c r="T161" t="s">
        <v>56</v>
      </c>
      <c r="U161" t="s">
        <v>137</v>
      </c>
      <c r="V161" t="s">
        <v>124</v>
      </c>
      <c r="W161" t="s">
        <v>111</v>
      </c>
      <c r="X161" t="s">
        <v>545</v>
      </c>
      <c r="Y161" t="s">
        <v>45</v>
      </c>
      <c r="Z161">
        <v>20</v>
      </c>
      <c r="AA161">
        <v>6</v>
      </c>
      <c r="AB161" t="s">
        <v>46</v>
      </c>
      <c r="AC161" t="s">
        <v>47</v>
      </c>
      <c r="AD161" t="s">
        <v>563</v>
      </c>
      <c r="AE161" t="s">
        <v>564</v>
      </c>
    </row>
    <row r="162" spans="1:31" x14ac:dyDescent="0.2">
      <c r="A162" t="s">
        <v>31</v>
      </c>
      <c r="B162" t="s">
        <v>438</v>
      </c>
      <c r="C162">
        <v>46</v>
      </c>
      <c r="D162" s="1">
        <v>40280</v>
      </c>
      <c r="E162" t="s">
        <v>538</v>
      </c>
      <c r="F162" t="s">
        <v>539</v>
      </c>
      <c r="G162" t="s">
        <v>77</v>
      </c>
      <c r="H162" t="s">
        <v>35</v>
      </c>
      <c r="I162" t="s">
        <v>35</v>
      </c>
      <c r="J162" t="s">
        <v>37</v>
      </c>
      <c r="K162">
        <v>151</v>
      </c>
      <c r="L162">
        <v>6</v>
      </c>
      <c r="M162">
        <v>138</v>
      </c>
      <c r="N162">
        <v>10</v>
      </c>
      <c r="O162" t="s">
        <v>77</v>
      </c>
      <c r="P162" t="s">
        <v>38</v>
      </c>
      <c r="Q162">
        <v>13</v>
      </c>
      <c r="R162">
        <v>0</v>
      </c>
      <c r="S162" t="s">
        <v>565</v>
      </c>
      <c r="T162" t="s">
        <v>440</v>
      </c>
      <c r="U162" t="s">
        <v>42</v>
      </c>
      <c r="V162" t="s">
        <v>59</v>
      </c>
      <c r="W162" t="s">
        <v>188</v>
      </c>
      <c r="X162" t="s">
        <v>444</v>
      </c>
      <c r="Y162" t="s">
        <v>45</v>
      </c>
      <c r="Z162">
        <v>20</v>
      </c>
      <c r="AA162">
        <v>6</v>
      </c>
      <c r="AB162" t="s">
        <v>46</v>
      </c>
      <c r="AC162" t="s">
        <v>47</v>
      </c>
      <c r="AD162" t="s">
        <v>566</v>
      </c>
      <c r="AE162" t="s">
        <v>567</v>
      </c>
    </row>
    <row r="163" spans="1:31" x14ac:dyDescent="0.2">
      <c r="A163" t="s">
        <v>31</v>
      </c>
      <c r="B163" t="s">
        <v>438</v>
      </c>
      <c r="C163">
        <v>47</v>
      </c>
      <c r="D163" s="1">
        <v>40281</v>
      </c>
      <c r="E163" t="s">
        <v>85</v>
      </c>
      <c r="F163" t="s">
        <v>443</v>
      </c>
      <c r="G163" t="s">
        <v>87</v>
      </c>
      <c r="H163" t="s">
        <v>65</v>
      </c>
      <c r="I163" t="s">
        <v>87</v>
      </c>
      <c r="J163" t="s">
        <v>54</v>
      </c>
      <c r="K163">
        <v>183</v>
      </c>
      <c r="L163">
        <v>4</v>
      </c>
      <c r="M163">
        <v>144</v>
      </c>
      <c r="N163">
        <v>7</v>
      </c>
      <c r="O163" t="s">
        <v>87</v>
      </c>
      <c r="P163" t="s">
        <v>38</v>
      </c>
      <c r="Q163">
        <v>39</v>
      </c>
      <c r="R163">
        <v>0</v>
      </c>
      <c r="S163" t="s">
        <v>568</v>
      </c>
      <c r="T163" t="s">
        <v>40</v>
      </c>
      <c r="U163" t="s">
        <v>316</v>
      </c>
      <c r="V163" t="s">
        <v>90</v>
      </c>
      <c r="W163" t="s">
        <v>81</v>
      </c>
      <c r="X163" t="s">
        <v>92</v>
      </c>
      <c r="Y163" t="s">
        <v>45</v>
      </c>
      <c r="Z163">
        <v>20</v>
      </c>
      <c r="AA163">
        <v>6</v>
      </c>
      <c r="AB163" t="s">
        <v>46</v>
      </c>
      <c r="AC163" t="s">
        <v>47</v>
      </c>
      <c r="AD163" t="s">
        <v>569</v>
      </c>
      <c r="AE163" t="s">
        <v>570</v>
      </c>
    </row>
    <row r="164" spans="1:31" x14ac:dyDescent="0.2">
      <c r="A164" t="s">
        <v>31</v>
      </c>
      <c r="B164" t="s">
        <v>438</v>
      </c>
      <c r="C164">
        <v>48</v>
      </c>
      <c r="D164" s="1">
        <v>40281</v>
      </c>
      <c r="E164" t="s">
        <v>108</v>
      </c>
      <c r="F164" t="s">
        <v>109</v>
      </c>
      <c r="G164" t="s">
        <v>53</v>
      </c>
      <c r="H164" t="s">
        <v>36</v>
      </c>
      <c r="I164" t="s">
        <v>36</v>
      </c>
      <c r="J164" t="s">
        <v>54</v>
      </c>
      <c r="K164">
        <v>143</v>
      </c>
      <c r="L164">
        <v>1</v>
      </c>
      <c r="M164">
        <v>139</v>
      </c>
      <c r="N164">
        <v>8</v>
      </c>
      <c r="O164" t="s">
        <v>53</v>
      </c>
      <c r="P164" t="s">
        <v>38</v>
      </c>
      <c r="Q164">
        <v>0</v>
      </c>
      <c r="R164">
        <v>9</v>
      </c>
      <c r="S164" t="s">
        <v>571</v>
      </c>
      <c r="T164" t="s">
        <v>68</v>
      </c>
      <c r="U164" t="s">
        <v>354</v>
      </c>
      <c r="V164" t="s">
        <v>286</v>
      </c>
      <c r="W164" t="s">
        <v>312</v>
      </c>
      <c r="X164" t="s">
        <v>455</v>
      </c>
      <c r="Y164" t="s">
        <v>45</v>
      </c>
      <c r="Z164">
        <v>20</v>
      </c>
      <c r="AA164">
        <v>6</v>
      </c>
      <c r="AB164" t="s">
        <v>46</v>
      </c>
      <c r="AC164" t="s">
        <v>47</v>
      </c>
      <c r="AD164" t="s">
        <v>572</v>
      </c>
      <c r="AE164" t="s">
        <v>573</v>
      </c>
    </row>
    <row r="165" spans="1:31" x14ac:dyDescent="0.2">
      <c r="A165" t="s">
        <v>31</v>
      </c>
      <c r="B165" t="s">
        <v>438</v>
      </c>
      <c r="C165">
        <v>49</v>
      </c>
      <c r="D165" s="1">
        <v>40282</v>
      </c>
      <c r="E165" t="s">
        <v>95</v>
      </c>
      <c r="F165" t="s">
        <v>96</v>
      </c>
      <c r="G165" t="s">
        <v>66</v>
      </c>
      <c r="H165" t="s">
        <v>35</v>
      </c>
      <c r="I165" t="s">
        <v>66</v>
      </c>
      <c r="J165" t="s">
        <v>54</v>
      </c>
      <c r="K165">
        <v>130</v>
      </c>
      <c r="L165">
        <v>6</v>
      </c>
      <c r="M165">
        <v>132</v>
      </c>
      <c r="N165">
        <v>5</v>
      </c>
      <c r="O165" t="s">
        <v>35</v>
      </c>
      <c r="P165" t="s">
        <v>38</v>
      </c>
      <c r="Q165">
        <v>0</v>
      </c>
      <c r="R165">
        <v>5</v>
      </c>
      <c r="S165" t="s">
        <v>525</v>
      </c>
      <c r="T165" t="s">
        <v>56</v>
      </c>
      <c r="U165" t="s">
        <v>137</v>
      </c>
      <c r="V165" t="s">
        <v>111</v>
      </c>
      <c r="W165" t="s">
        <v>124</v>
      </c>
      <c r="X165" t="s">
        <v>545</v>
      </c>
      <c r="Y165" t="s">
        <v>45</v>
      </c>
      <c r="Z165">
        <v>20</v>
      </c>
      <c r="AA165">
        <v>6</v>
      </c>
      <c r="AB165" t="s">
        <v>46</v>
      </c>
      <c r="AC165" t="s">
        <v>47</v>
      </c>
      <c r="AD165" t="s">
        <v>574</v>
      </c>
      <c r="AE165" t="s">
        <v>575</v>
      </c>
    </row>
    <row r="166" spans="1:31" x14ac:dyDescent="0.2">
      <c r="A166" t="s">
        <v>31</v>
      </c>
      <c r="B166" t="s">
        <v>438</v>
      </c>
      <c r="C166">
        <v>50</v>
      </c>
      <c r="D166" s="1">
        <v>40283</v>
      </c>
      <c r="E166" t="s">
        <v>108</v>
      </c>
      <c r="F166" t="s">
        <v>109</v>
      </c>
      <c r="G166" t="s">
        <v>53</v>
      </c>
      <c r="H166" t="s">
        <v>65</v>
      </c>
      <c r="I166" t="s">
        <v>53</v>
      </c>
      <c r="J166" t="s">
        <v>54</v>
      </c>
      <c r="K166">
        <v>112</v>
      </c>
      <c r="L166">
        <v>9</v>
      </c>
      <c r="M166">
        <v>113</v>
      </c>
      <c r="N166">
        <v>4</v>
      </c>
      <c r="O166" t="s">
        <v>65</v>
      </c>
      <c r="P166" t="s">
        <v>38</v>
      </c>
      <c r="Q166">
        <v>0</v>
      </c>
      <c r="R166">
        <v>6</v>
      </c>
      <c r="S166" t="s">
        <v>366</v>
      </c>
      <c r="T166" t="s">
        <v>68</v>
      </c>
      <c r="U166" t="s">
        <v>312</v>
      </c>
      <c r="V166" t="s">
        <v>354</v>
      </c>
      <c r="W166" t="s">
        <v>286</v>
      </c>
      <c r="X166" t="s">
        <v>455</v>
      </c>
      <c r="Y166" t="s">
        <v>45</v>
      </c>
      <c r="Z166">
        <v>20</v>
      </c>
      <c r="AA166">
        <v>6</v>
      </c>
      <c r="AB166" t="s">
        <v>46</v>
      </c>
      <c r="AC166" t="s">
        <v>47</v>
      </c>
      <c r="AD166" t="s">
        <v>576</v>
      </c>
      <c r="AE166" t="s">
        <v>577</v>
      </c>
    </row>
    <row r="167" spans="1:31" x14ac:dyDescent="0.2">
      <c r="A167" t="s">
        <v>31</v>
      </c>
      <c r="B167" t="s">
        <v>438</v>
      </c>
      <c r="C167">
        <v>51</v>
      </c>
      <c r="D167" s="1">
        <v>40284</v>
      </c>
      <c r="E167" t="s">
        <v>578</v>
      </c>
      <c r="F167" t="s">
        <v>579</v>
      </c>
      <c r="G167" t="s">
        <v>52</v>
      </c>
      <c r="H167" t="s">
        <v>77</v>
      </c>
      <c r="I167" t="s">
        <v>77</v>
      </c>
      <c r="J167" t="s">
        <v>37</v>
      </c>
      <c r="K167">
        <v>174</v>
      </c>
      <c r="L167">
        <v>3</v>
      </c>
      <c r="M167">
        <v>178</v>
      </c>
      <c r="N167">
        <v>5</v>
      </c>
      <c r="O167" t="s">
        <v>77</v>
      </c>
      <c r="P167" t="s">
        <v>38</v>
      </c>
      <c r="Q167">
        <v>0</v>
      </c>
      <c r="R167">
        <v>5</v>
      </c>
      <c r="S167" t="s">
        <v>369</v>
      </c>
      <c r="T167" t="s">
        <v>293</v>
      </c>
      <c r="U167" t="s">
        <v>297</v>
      </c>
      <c r="V167" t="s">
        <v>43</v>
      </c>
      <c r="W167" t="s">
        <v>80</v>
      </c>
      <c r="X167" t="s">
        <v>105</v>
      </c>
      <c r="Y167" t="s">
        <v>45</v>
      </c>
      <c r="Z167">
        <v>20</v>
      </c>
      <c r="AA167">
        <v>6</v>
      </c>
      <c r="AB167" t="s">
        <v>46</v>
      </c>
      <c r="AC167" t="s">
        <v>47</v>
      </c>
      <c r="AD167" t="s">
        <v>580</v>
      </c>
      <c r="AE167" t="s">
        <v>581</v>
      </c>
    </row>
    <row r="168" spans="1:31" x14ac:dyDescent="0.2">
      <c r="A168" t="s">
        <v>31</v>
      </c>
      <c r="B168" t="s">
        <v>438</v>
      </c>
      <c r="C168">
        <v>52</v>
      </c>
      <c r="D168" s="1">
        <v>40285</v>
      </c>
      <c r="E168" t="s">
        <v>33</v>
      </c>
      <c r="F168" t="s">
        <v>34</v>
      </c>
      <c r="G168" t="s">
        <v>35</v>
      </c>
      <c r="H168" t="s">
        <v>87</v>
      </c>
      <c r="I168" t="s">
        <v>35</v>
      </c>
      <c r="J168" t="s">
        <v>37</v>
      </c>
      <c r="K168">
        <v>134</v>
      </c>
      <c r="L168">
        <v>9</v>
      </c>
      <c r="M168">
        <v>191</v>
      </c>
      <c r="N168">
        <v>4</v>
      </c>
      <c r="O168" t="s">
        <v>87</v>
      </c>
      <c r="P168" t="s">
        <v>38</v>
      </c>
      <c r="Q168">
        <v>57</v>
      </c>
      <c r="R168">
        <v>0</v>
      </c>
      <c r="S168" t="s">
        <v>582</v>
      </c>
      <c r="T168" t="s">
        <v>68</v>
      </c>
      <c r="U168" t="s">
        <v>312</v>
      </c>
      <c r="V168" t="s">
        <v>286</v>
      </c>
      <c r="W168" t="s">
        <v>354</v>
      </c>
      <c r="X168" t="s">
        <v>463</v>
      </c>
      <c r="Y168" t="s">
        <v>45</v>
      </c>
      <c r="Z168">
        <v>20</v>
      </c>
      <c r="AA168">
        <v>6</v>
      </c>
      <c r="AB168" t="s">
        <v>46</v>
      </c>
      <c r="AC168" t="s">
        <v>47</v>
      </c>
      <c r="AD168" t="s">
        <v>583</v>
      </c>
      <c r="AE168" t="s">
        <v>584</v>
      </c>
    </row>
    <row r="169" spans="1:31" x14ac:dyDescent="0.2">
      <c r="A169" t="s">
        <v>31</v>
      </c>
      <c r="B169" t="s">
        <v>438</v>
      </c>
      <c r="C169">
        <v>53</v>
      </c>
      <c r="D169" s="1">
        <v>40285</v>
      </c>
      <c r="E169" t="s">
        <v>75</v>
      </c>
      <c r="F169" t="s">
        <v>76</v>
      </c>
      <c r="G169" t="s">
        <v>36</v>
      </c>
      <c r="H169" t="s">
        <v>66</v>
      </c>
      <c r="I169" t="s">
        <v>66</v>
      </c>
      <c r="J169" t="s">
        <v>54</v>
      </c>
      <c r="K169">
        <v>133</v>
      </c>
      <c r="L169">
        <v>2</v>
      </c>
      <c r="M169">
        <v>132</v>
      </c>
      <c r="N169">
        <v>9</v>
      </c>
      <c r="O169" t="s">
        <v>36</v>
      </c>
      <c r="P169" t="s">
        <v>38</v>
      </c>
      <c r="Q169">
        <v>0</v>
      </c>
      <c r="R169">
        <v>8</v>
      </c>
      <c r="S169" t="s">
        <v>585</v>
      </c>
      <c r="T169" t="s">
        <v>440</v>
      </c>
      <c r="U169" t="s">
        <v>188</v>
      </c>
      <c r="V169" t="s">
        <v>59</v>
      </c>
      <c r="W169" t="s">
        <v>42</v>
      </c>
      <c r="X169" t="s">
        <v>450</v>
      </c>
      <c r="Y169" t="s">
        <v>45</v>
      </c>
      <c r="Z169">
        <v>20</v>
      </c>
      <c r="AA169">
        <v>6</v>
      </c>
      <c r="AB169" t="s">
        <v>46</v>
      </c>
      <c r="AC169" t="s">
        <v>47</v>
      </c>
      <c r="AD169" t="s">
        <v>586</v>
      </c>
      <c r="AE169" t="s">
        <v>587</v>
      </c>
    </row>
    <row r="170" spans="1:31" x14ac:dyDescent="0.2">
      <c r="A170" t="s">
        <v>31</v>
      </c>
      <c r="B170" t="s">
        <v>438</v>
      </c>
      <c r="C170">
        <v>54</v>
      </c>
      <c r="D170" s="1">
        <v>40286</v>
      </c>
      <c r="E170" t="s">
        <v>578</v>
      </c>
      <c r="F170" t="s">
        <v>579</v>
      </c>
      <c r="G170" t="s">
        <v>52</v>
      </c>
      <c r="H170" t="s">
        <v>53</v>
      </c>
      <c r="I170" t="s">
        <v>53</v>
      </c>
      <c r="J170" t="s">
        <v>37</v>
      </c>
      <c r="K170">
        <v>192</v>
      </c>
      <c r="L170">
        <v>3</v>
      </c>
      <c r="M170">
        <v>195</v>
      </c>
      <c r="N170">
        <v>4</v>
      </c>
      <c r="O170" t="s">
        <v>53</v>
      </c>
      <c r="P170" t="s">
        <v>38</v>
      </c>
      <c r="Q170">
        <v>0</v>
      </c>
      <c r="R170">
        <v>6</v>
      </c>
      <c r="S170" t="s">
        <v>136</v>
      </c>
      <c r="T170" t="s">
        <v>293</v>
      </c>
      <c r="U170" t="s">
        <v>80</v>
      </c>
      <c r="V170" t="s">
        <v>43</v>
      </c>
      <c r="W170" t="s">
        <v>297</v>
      </c>
      <c r="X170" t="s">
        <v>105</v>
      </c>
      <c r="Y170" t="s">
        <v>45</v>
      </c>
      <c r="Z170">
        <v>20</v>
      </c>
      <c r="AA170">
        <v>6</v>
      </c>
      <c r="AB170" t="s">
        <v>46</v>
      </c>
      <c r="AC170" t="s">
        <v>47</v>
      </c>
      <c r="AD170" t="s">
        <v>588</v>
      </c>
      <c r="AE170" t="s">
        <v>589</v>
      </c>
    </row>
    <row r="171" spans="1:31" x14ac:dyDescent="0.2">
      <c r="A171" t="s">
        <v>31</v>
      </c>
      <c r="B171" t="s">
        <v>438</v>
      </c>
      <c r="C171">
        <v>55</v>
      </c>
      <c r="D171" s="1">
        <v>40286</v>
      </c>
      <c r="E171" t="s">
        <v>63</v>
      </c>
      <c r="F171" t="s">
        <v>64</v>
      </c>
      <c r="G171" t="s">
        <v>65</v>
      </c>
      <c r="H171" t="s">
        <v>77</v>
      </c>
      <c r="I171" t="s">
        <v>77</v>
      </c>
      <c r="J171" t="s">
        <v>54</v>
      </c>
      <c r="K171">
        <v>134</v>
      </c>
      <c r="L171">
        <v>7</v>
      </c>
      <c r="M171">
        <v>145</v>
      </c>
      <c r="N171">
        <v>7</v>
      </c>
      <c r="O171" t="s">
        <v>77</v>
      </c>
      <c r="P171" t="s">
        <v>38</v>
      </c>
      <c r="Q171">
        <v>11</v>
      </c>
      <c r="R171">
        <v>0</v>
      </c>
      <c r="S171" t="s">
        <v>475</v>
      </c>
      <c r="T171" t="s">
        <v>56</v>
      </c>
      <c r="U171" t="s">
        <v>137</v>
      </c>
      <c r="V171" t="s">
        <v>124</v>
      </c>
      <c r="W171" t="s">
        <v>111</v>
      </c>
      <c r="X171" t="s">
        <v>146</v>
      </c>
      <c r="Y171" t="s">
        <v>45</v>
      </c>
      <c r="Z171">
        <v>20</v>
      </c>
      <c r="AA171">
        <v>6</v>
      </c>
      <c r="AB171" t="s">
        <v>46</v>
      </c>
      <c r="AC171" t="s">
        <v>47</v>
      </c>
      <c r="AD171" t="s">
        <v>590</v>
      </c>
      <c r="AE171" t="s">
        <v>591</v>
      </c>
    </row>
    <row r="172" spans="1:31" x14ac:dyDescent="0.2">
      <c r="A172" t="s">
        <v>31</v>
      </c>
      <c r="B172" t="s">
        <v>438</v>
      </c>
      <c r="C172">
        <v>56</v>
      </c>
      <c r="D172" s="1">
        <v>40287</v>
      </c>
      <c r="E172" t="s">
        <v>75</v>
      </c>
      <c r="F172" t="s">
        <v>76</v>
      </c>
      <c r="G172" t="s">
        <v>36</v>
      </c>
      <c r="H172" t="s">
        <v>87</v>
      </c>
      <c r="I172" t="s">
        <v>87</v>
      </c>
      <c r="J172" t="s">
        <v>54</v>
      </c>
      <c r="K172">
        <v>135</v>
      </c>
      <c r="L172">
        <v>1</v>
      </c>
      <c r="M172">
        <v>133</v>
      </c>
      <c r="N172">
        <v>8</v>
      </c>
      <c r="O172" t="s">
        <v>36</v>
      </c>
      <c r="P172" t="s">
        <v>38</v>
      </c>
      <c r="Q172">
        <v>0</v>
      </c>
      <c r="R172">
        <v>9</v>
      </c>
      <c r="S172" t="s">
        <v>592</v>
      </c>
      <c r="T172" t="s">
        <v>440</v>
      </c>
      <c r="U172" t="s">
        <v>188</v>
      </c>
      <c r="V172" t="s">
        <v>42</v>
      </c>
      <c r="W172" t="s">
        <v>59</v>
      </c>
      <c r="X172" t="s">
        <v>450</v>
      </c>
      <c r="Y172" t="s">
        <v>45</v>
      </c>
      <c r="Z172">
        <v>20</v>
      </c>
      <c r="AA172">
        <v>6</v>
      </c>
      <c r="AB172" t="s">
        <v>46</v>
      </c>
      <c r="AC172" t="s">
        <v>47</v>
      </c>
      <c r="AD172" t="s">
        <v>593</v>
      </c>
      <c r="AE172" t="s">
        <v>594</v>
      </c>
    </row>
    <row r="173" spans="1:31" x14ac:dyDescent="0.2">
      <c r="A173" t="s">
        <v>31</v>
      </c>
      <c r="B173" t="s">
        <v>438</v>
      </c>
      <c r="C173" t="s">
        <v>256</v>
      </c>
      <c r="D173" s="1">
        <v>40289</v>
      </c>
      <c r="E173" t="s">
        <v>85</v>
      </c>
      <c r="F173" t="s">
        <v>131</v>
      </c>
      <c r="G173" t="s">
        <v>35</v>
      </c>
      <c r="H173" t="s">
        <v>87</v>
      </c>
      <c r="I173" t="s">
        <v>87</v>
      </c>
      <c r="J173" t="s">
        <v>54</v>
      </c>
      <c r="K173">
        <v>149</v>
      </c>
      <c r="L173">
        <v>9</v>
      </c>
      <c r="M173">
        <v>184</v>
      </c>
      <c r="N173">
        <v>5</v>
      </c>
      <c r="O173" t="s">
        <v>87</v>
      </c>
      <c r="P173" t="s">
        <v>38</v>
      </c>
      <c r="Q173">
        <v>35</v>
      </c>
      <c r="R173">
        <v>0</v>
      </c>
      <c r="S173" t="s">
        <v>568</v>
      </c>
      <c r="T173" t="s">
        <v>40</v>
      </c>
      <c r="U173" t="s">
        <v>137</v>
      </c>
      <c r="V173" t="s">
        <v>59</v>
      </c>
      <c r="W173" t="s">
        <v>90</v>
      </c>
      <c r="X173" t="s">
        <v>92</v>
      </c>
      <c r="Y173" t="s">
        <v>45</v>
      </c>
      <c r="Z173">
        <v>20</v>
      </c>
      <c r="AA173">
        <v>6</v>
      </c>
      <c r="AB173" t="s">
        <v>46</v>
      </c>
      <c r="AC173" t="s">
        <v>47</v>
      </c>
      <c r="AD173" t="s">
        <v>595</v>
      </c>
      <c r="AE173" t="s">
        <v>596</v>
      </c>
    </row>
    <row r="174" spans="1:31" x14ac:dyDescent="0.2">
      <c r="A174" t="s">
        <v>31</v>
      </c>
      <c r="B174" t="s">
        <v>438</v>
      </c>
      <c r="C174" t="s">
        <v>256</v>
      </c>
      <c r="D174" s="1">
        <v>40290</v>
      </c>
      <c r="E174" t="s">
        <v>85</v>
      </c>
      <c r="F174" t="s">
        <v>131</v>
      </c>
      <c r="G174" t="s">
        <v>53</v>
      </c>
      <c r="H174" t="s">
        <v>77</v>
      </c>
      <c r="I174" t="s">
        <v>53</v>
      </c>
      <c r="J174" t="s">
        <v>54</v>
      </c>
      <c r="K174">
        <v>142</v>
      </c>
      <c r="L174">
        <v>7</v>
      </c>
      <c r="M174">
        <v>104</v>
      </c>
      <c r="N174">
        <v>10</v>
      </c>
      <c r="O174" t="s">
        <v>53</v>
      </c>
      <c r="P174" t="s">
        <v>38</v>
      </c>
      <c r="Q174">
        <v>38</v>
      </c>
      <c r="R174">
        <v>0</v>
      </c>
      <c r="S174" t="s">
        <v>597</v>
      </c>
      <c r="T174" t="s">
        <v>40</v>
      </c>
      <c r="U174" t="s">
        <v>137</v>
      </c>
      <c r="V174" t="s">
        <v>59</v>
      </c>
      <c r="W174" t="s">
        <v>90</v>
      </c>
      <c r="X174" t="s">
        <v>92</v>
      </c>
      <c r="Y174" t="s">
        <v>45</v>
      </c>
      <c r="Z174">
        <v>20</v>
      </c>
      <c r="AA174">
        <v>6</v>
      </c>
      <c r="AB174" t="s">
        <v>46</v>
      </c>
      <c r="AC174" t="s">
        <v>47</v>
      </c>
      <c r="AD174" t="s">
        <v>598</v>
      </c>
      <c r="AE174" t="s">
        <v>599</v>
      </c>
    </row>
    <row r="175" spans="1:31" x14ac:dyDescent="0.2">
      <c r="A175" t="s">
        <v>31</v>
      </c>
      <c r="B175" t="s">
        <v>438</v>
      </c>
      <c r="C175" t="s">
        <v>256</v>
      </c>
      <c r="D175" s="1">
        <v>40292</v>
      </c>
      <c r="E175" t="s">
        <v>85</v>
      </c>
      <c r="F175" t="s">
        <v>131</v>
      </c>
      <c r="G175" t="s">
        <v>35</v>
      </c>
      <c r="H175" t="s">
        <v>77</v>
      </c>
      <c r="I175" t="s">
        <v>77</v>
      </c>
      <c r="J175" t="s">
        <v>54</v>
      </c>
      <c r="K175">
        <v>86</v>
      </c>
      <c r="L175">
        <v>1</v>
      </c>
      <c r="M175">
        <v>82</v>
      </c>
      <c r="N175">
        <v>10</v>
      </c>
      <c r="O175" t="s">
        <v>35</v>
      </c>
      <c r="P175" t="s">
        <v>38</v>
      </c>
      <c r="Q175">
        <v>0</v>
      </c>
      <c r="R175">
        <v>9</v>
      </c>
      <c r="S175" t="s">
        <v>229</v>
      </c>
      <c r="T175" t="s">
        <v>56</v>
      </c>
      <c r="U175" t="s">
        <v>42</v>
      </c>
      <c r="V175" t="s">
        <v>286</v>
      </c>
      <c r="W175" t="s">
        <v>111</v>
      </c>
      <c r="X175" t="s">
        <v>92</v>
      </c>
      <c r="Y175" t="s">
        <v>45</v>
      </c>
      <c r="Z175">
        <v>20</v>
      </c>
      <c r="AA175">
        <v>6</v>
      </c>
      <c r="AB175" t="s">
        <v>46</v>
      </c>
      <c r="AC175" t="s">
        <v>47</v>
      </c>
      <c r="AD175" t="s">
        <v>600</v>
      </c>
      <c r="AE175" t="s">
        <v>601</v>
      </c>
    </row>
    <row r="176" spans="1:31" x14ac:dyDescent="0.2">
      <c r="A176" t="s">
        <v>31</v>
      </c>
      <c r="B176" t="s">
        <v>438</v>
      </c>
      <c r="C176" t="s">
        <v>256</v>
      </c>
      <c r="D176" s="1">
        <v>40293</v>
      </c>
      <c r="E176" t="s">
        <v>85</v>
      </c>
      <c r="F176" t="s">
        <v>131</v>
      </c>
      <c r="G176" t="s">
        <v>53</v>
      </c>
      <c r="H176" t="s">
        <v>87</v>
      </c>
      <c r="I176" t="s">
        <v>53</v>
      </c>
      <c r="J176" t="s">
        <v>54</v>
      </c>
      <c r="K176">
        <v>168</v>
      </c>
      <c r="L176">
        <v>5</v>
      </c>
      <c r="M176">
        <v>146</v>
      </c>
      <c r="N176">
        <v>9</v>
      </c>
      <c r="O176" t="s">
        <v>53</v>
      </c>
      <c r="P176" t="s">
        <v>38</v>
      </c>
      <c r="Q176">
        <v>22</v>
      </c>
      <c r="R176">
        <v>0</v>
      </c>
      <c r="S176" t="s">
        <v>248</v>
      </c>
      <c r="T176" t="s">
        <v>56</v>
      </c>
      <c r="U176" t="s">
        <v>42</v>
      </c>
      <c r="V176" t="s">
        <v>286</v>
      </c>
      <c r="W176" t="s">
        <v>111</v>
      </c>
      <c r="X176" t="s">
        <v>92</v>
      </c>
      <c r="Y176" t="s">
        <v>45</v>
      </c>
      <c r="Z176">
        <v>20</v>
      </c>
      <c r="AA176">
        <v>6</v>
      </c>
      <c r="AB176" t="s">
        <v>46</v>
      </c>
      <c r="AC176" t="s">
        <v>47</v>
      </c>
      <c r="AD176" t="s">
        <v>598</v>
      </c>
      <c r="AE176" t="s">
        <v>602</v>
      </c>
    </row>
    <row r="177" spans="1:31" x14ac:dyDescent="0.2">
      <c r="A177" t="s">
        <v>31</v>
      </c>
      <c r="B177">
        <v>2011</v>
      </c>
      <c r="C177">
        <v>1</v>
      </c>
      <c r="D177" s="1">
        <v>40641</v>
      </c>
      <c r="E177" t="s">
        <v>108</v>
      </c>
      <c r="F177" t="s">
        <v>109</v>
      </c>
      <c r="G177" t="s">
        <v>53</v>
      </c>
      <c r="H177" t="s">
        <v>36</v>
      </c>
      <c r="I177" t="s">
        <v>53</v>
      </c>
      <c r="J177" t="s">
        <v>54</v>
      </c>
      <c r="K177">
        <v>153</v>
      </c>
      <c r="L177">
        <v>4</v>
      </c>
      <c r="M177">
        <v>151</v>
      </c>
      <c r="N177">
        <v>7</v>
      </c>
      <c r="O177" t="s">
        <v>53</v>
      </c>
      <c r="P177" t="s">
        <v>38</v>
      </c>
      <c r="Q177">
        <v>2</v>
      </c>
      <c r="R177">
        <v>0</v>
      </c>
      <c r="S177" t="s">
        <v>603</v>
      </c>
      <c r="T177" t="s">
        <v>40</v>
      </c>
      <c r="U177" t="s">
        <v>137</v>
      </c>
      <c r="V177" t="s">
        <v>604</v>
      </c>
      <c r="W177" t="s">
        <v>316</v>
      </c>
      <c r="X177" t="s">
        <v>605</v>
      </c>
      <c r="Y177" t="s">
        <v>45</v>
      </c>
      <c r="Z177">
        <v>20</v>
      </c>
      <c r="AA177">
        <v>6</v>
      </c>
      <c r="AB177" t="s">
        <v>46</v>
      </c>
      <c r="AC177" t="s">
        <v>47</v>
      </c>
      <c r="AD177" t="s">
        <v>606</v>
      </c>
      <c r="AE177" t="s">
        <v>607</v>
      </c>
    </row>
    <row r="178" spans="1:31" x14ac:dyDescent="0.2">
      <c r="A178" t="s">
        <v>31</v>
      </c>
      <c r="B178">
        <v>2011</v>
      </c>
      <c r="C178">
        <v>2</v>
      </c>
      <c r="D178" s="1">
        <v>40642</v>
      </c>
      <c r="E178" t="s">
        <v>101</v>
      </c>
      <c r="F178" t="s">
        <v>102</v>
      </c>
      <c r="G178" t="s">
        <v>77</v>
      </c>
      <c r="H178" t="s">
        <v>66</v>
      </c>
      <c r="I178" t="s">
        <v>66</v>
      </c>
      <c r="J178" t="s">
        <v>37</v>
      </c>
      <c r="K178">
        <v>137</v>
      </c>
      <c r="L178">
        <v>8</v>
      </c>
      <c r="M178">
        <v>141</v>
      </c>
      <c r="N178">
        <v>2</v>
      </c>
      <c r="O178" t="s">
        <v>66</v>
      </c>
      <c r="P178" t="s">
        <v>38</v>
      </c>
      <c r="Q178">
        <v>0</v>
      </c>
      <c r="R178">
        <v>8</v>
      </c>
      <c r="S178" t="s">
        <v>608</v>
      </c>
      <c r="T178" t="s">
        <v>440</v>
      </c>
      <c r="U178" t="s">
        <v>42</v>
      </c>
      <c r="V178" t="s">
        <v>124</v>
      </c>
      <c r="W178" t="s">
        <v>354</v>
      </c>
      <c r="X178" t="s">
        <v>105</v>
      </c>
      <c r="Y178" t="s">
        <v>45</v>
      </c>
      <c r="Z178">
        <v>20</v>
      </c>
      <c r="AA178">
        <v>6</v>
      </c>
      <c r="AB178" t="s">
        <v>46</v>
      </c>
      <c r="AC178" t="s">
        <v>47</v>
      </c>
      <c r="AD178" t="s">
        <v>609</v>
      </c>
      <c r="AE178" t="s">
        <v>610</v>
      </c>
    </row>
    <row r="179" spans="1:31" x14ac:dyDescent="0.2">
      <c r="A179" t="s">
        <v>31</v>
      </c>
      <c r="B179">
        <v>2011</v>
      </c>
      <c r="C179">
        <v>3</v>
      </c>
      <c r="D179" s="1">
        <v>40642</v>
      </c>
      <c r="E179" t="s">
        <v>611</v>
      </c>
      <c r="F179" t="s">
        <v>612</v>
      </c>
      <c r="G179" t="s">
        <v>613</v>
      </c>
      <c r="H179" t="s">
        <v>35</v>
      </c>
      <c r="I179" t="s">
        <v>613</v>
      </c>
      <c r="J179" t="s">
        <v>54</v>
      </c>
      <c r="K179">
        <v>161</v>
      </c>
      <c r="L179">
        <v>5</v>
      </c>
      <c r="M179">
        <v>162</v>
      </c>
      <c r="N179">
        <v>4</v>
      </c>
      <c r="O179" t="s">
        <v>35</v>
      </c>
      <c r="P179" t="s">
        <v>38</v>
      </c>
      <c r="Q179">
        <v>0</v>
      </c>
      <c r="R179">
        <v>6</v>
      </c>
      <c r="S179" t="s">
        <v>300</v>
      </c>
      <c r="T179" t="s">
        <v>614</v>
      </c>
      <c r="U179" t="s">
        <v>312</v>
      </c>
      <c r="V179" t="s">
        <v>81</v>
      </c>
      <c r="W179" t="s">
        <v>276</v>
      </c>
      <c r="X179" t="s">
        <v>463</v>
      </c>
      <c r="Y179" t="s">
        <v>45</v>
      </c>
      <c r="Z179">
        <v>20</v>
      </c>
      <c r="AA179">
        <v>6</v>
      </c>
      <c r="AB179" t="s">
        <v>46</v>
      </c>
      <c r="AC179" t="s">
        <v>47</v>
      </c>
      <c r="AD179" t="s">
        <v>615</v>
      </c>
      <c r="AE179" t="s">
        <v>616</v>
      </c>
    </row>
    <row r="180" spans="1:31" x14ac:dyDescent="0.2">
      <c r="A180" t="s">
        <v>31</v>
      </c>
      <c r="B180">
        <v>2011</v>
      </c>
      <c r="C180">
        <v>4</v>
      </c>
      <c r="D180" s="1">
        <v>40643</v>
      </c>
      <c r="E180" t="s">
        <v>63</v>
      </c>
      <c r="F180" t="s">
        <v>64</v>
      </c>
      <c r="G180" t="s">
        <v>65</v>
      </c>
      <c r="H180" t="s">
        <v>87</v>
      </c>
      <c r="I180" t="s">
        <v>65</v>
      </c>
      <c r="J180" t="s">
        <v>54</v>
      </c>
      <c r="K180">
        <v>95</v>
      </c>
      <c r="L180">
        <v>10</v>
      </c>
      <c r="M180">
        <v>99</v>
      </c>
      <c r="N180">
        <v>2</v>
      </c>
      <c r="O180" t="s">
        <v>87</v>
      </c>
      <c r="P180" t="s">
        <v>38</v>
      </c>
      <c r="Q180">
        <v>0</v>
      </c>
      <c r="R180">
        <v>8</v>
      </c>
      <c r="S180" t="s">
        <v>515</v>
      </c>
      <c r="T180" t="s">
        <v>56</v>
      </c>
      <c r="U180" t="s">
        <v>43</v>
      </c>
      <c r="V180" t="s">
        <v>59</v>
      </c>
      <c r="W180" t="s">
        <v>58</v>
      </c>
      <c r="X180" t="s">
        <v>146</v>
      </c>
      <c r="Y180" t="s">
        <v>45</v>
      </c>
      <c r="Z180">
        <v>20</v>
      </c>
      <c r="AA180">
        <v>6</v>
      </c>
      <c r="AB180" t="s">
        <v>46</v>
      </c>
      <c r="AC180" t="s">
        <v>47</v>
      </c>
      <c r="AD180" t="s">
        <v>617</v>
      </c>
      <c r="AE180" t="s">
        <v>618</v>
      </c>
    </row>
    <row r="181" spans="1:31" x14ac:dyDescent="0.2">
      <c r="A181" t="s">
        <v>31</v>
      </c>
      <c r="B181">
        <v>2011</v>
      </c>
      <c r="C181">
        <v>5</v>
      </c>
      <c r="D181" s="1">
        <v>40643</v>
      </c>
      <c r="E181" t="s">
        <v>85</v>
      </c>
      <c r="F181" t="s">
        <v>131</v>
      </c>
      <c r="G181" t="s">
        <v>619</v>
      </c>
      <c r="H181" t="s">
        <v>52</v>
      </c>
      <c r="I181" t="s">
        <v>52</v>
      </c>
      <c r="J181" t="s">
        <v>54</v>
      </c>
      <c r="K181">
        <v>113</v>
      </c>
      <c r="L181">
        <v>3</v>
      </c>
      <c r="M181">
        <v>112</v>
      </c>
      <c r="N181">
        <v>8</v>
      </c>
      <c r="O181" t="s">
        <v>619</v>
      </c>
      <c r="P181" t="s">
        <v>38</v>
      </c>
      <c r="Q181">
        <v>0</v>
      </c>
      <c r="R181">
        <v>7</v>
      </c>
      <c r="S181" t="s">
        <v>620</v>
      </c>
      <c r="T181" t="s">
        <v>40</v>
      </c>
      <c r="U181" t="s">
        <v>137</v>
      </c>
      <c r="V181" t="s">
        <v>604</v>
      </c>
      <c r="W181" t="s">
        <v>316</v>
      </c>
      <c r="X181" t="s">
        <v>621</v>
      </c>
      <c r="Y181" t="s">
        <v>45</v>
      </c>
      <c r="Z181">
        <v>20</v>
      </c>
      <c r="AA181">
        <v>6</v>
      </c>
      <c r="AB181" t="s">
        <v>46</v>
      </c>
      <c r="AC181" t="s">
        <v>47</v>
      </c>
      <c r="AD181" t="s">
        <v>622</v>
      </c>
      <c r="AE181" t="s">
        <v>623</v>
      </c>
    </row>
    <row r="182" spans="1:31" x14ac:dyDescent="0.2">
      <c r="A182" t="s">
        <v>31</v>
      </c>
      <c r="B182">
        <v>2011</v>
      </c>
      <c r="C182">
        <v>6</v>
      </c>
      <c r="D182" s="1">
        <v>40644</v>
      </c>
      <c r="E182" t="s">
        <v>75</v>
      </c>
      <c r="F182" t="s">
        <v>76</v>
      </c>
      <c r="G182" t="s">
        <v>36</v>
      </c>
      <c r="H182" t="s">
        <v>77</v>
      </c>
      <c r="I182" t="s">
        <v>36</v>
      </c>
      <c r="J182" t="s">
        <v>54</v>
      </c>
      <c r="K182">
        <v>163</v>
      </c>
      <c r="L182">
        <v>4</v>
      </c>
      <c r="M182">
        <v>154</v>
      </c>
      <c r="N182">
        <v>8</v>
      </c>
      <c r="O182" t="s">
        <v>36</v>
      </c>
      <c r="P182" t="s">
        <v>38</v>
      </c>
      <c r="Q182">
        <v>9</v>
      </c>
      <c r="R182">
        <v>0</v>
      </c>
      <c r="S182" t="s">
        <v>359</v>
      </c>
      <c r="T182" t="s">
        <v>293</v>
      </c>
      <c r="U182" t="s">
        <v>42</v>
      </c>
      <c r="V182" t="s">
        <v>124</v>
      </c>
      <c r="W182" t="s">
        <v>111</v>
      </c>
      <c r="X182" t="s">
        <v>454</v>
      </c>
      <c r="Y182" t="s">
        <v>45</v>
      </c>
      <c r="Z182">
        <v>20</v>
      </c>
      <c r="AA182">
        <v>6</v>
      </c>
      <c r="AB182" t="s">
        <v>46</v>
      </c>
      <c r="AC182" t="s">
        <v>47</v>
      </c>
      <c r="AD182" t="s">
        <v>624</v>
      </c>
      <c r="AE182" t="s">
        <v>625</v>
      </c>
    </row>
    <row r="183" spans="1:31" x14ac:dyDescent="0.2">
      <c r="A183" t="s">
        <v>31</v>
      </c>
      <c r="B183">
        <v>2011</v>
      </c>
      <c r="C183">
        <v>7</v>
      </c>
      <c r="D183" s="1">
        <v>40645</v>
      </c>
      <c r="E183" t="s">
        <v>95</v>
      </c>
      <c r="F183" t="s">
        <v>96</v>
      </c>
      <c r="G183" t="s">
        <v>66</v>
      </c>
      <c r="H183" t="s">
        <v>65</v>
      </c>
      <c r="I183" t="s">
        <v>65</v>
      </c>
      <c r="J183" t="s">
        <v>54</v>
      </c>
      <c r="K183">
        <v>152</v>
      </c>
      <c r="L183">
        <v>4</v>
      </c>
      <c r="M183">
        <v>151</v>
      </c>
      <c r="N183">
        <v>6</v>
      </c>
      <c r="O183" t="s">
        <v>66</v>
      </c>
      <c r="P183" t="s">
        <v>38</v>
      </c>
      <c r="Q183">
        <v>0</v>
      </c>
      <c r="R183">
        <v>6</v>
      </c>
      <c r="S183" t="s">
        <v>402</v>
      </c>
      <c r="T183" t="s">
        <v>440</v>
      </c>
      <c r="U183" t="s">
        <v>69</v>
      </c>
      <c r="V183" t="s">
        <v>59</v>
      </c>
      <c r="W183" t="s">
        <v>354</v>
      </c>
      <c r="X183" t="s">
        <v>626</v>
      </c>
      <c r="Y183" t="s">
        <v>45</v>
      </c>
      <c r="Z183">
        <v>20</v>
      </c>
      <c r="AA183">
        <v>6</v>
      </c>
      <c r="AB183" t="s">
        <v>46</v>
      </c>
      <c r="AC183" t="s">
        <v>47</v>
      </c>
      <c r="AD183" t="s">
        <v>627</v>
      </c>
      <c r="AE183" t="s">
        <v>628</v>
      </c>
    </row>
    <row r="184" spans="1:31" x14ac:dyDescent="0.2">
      <c r="A184" t="s">
        <v>31</v>
      </c>
      <c r="B184">
        <v>2011</v>
      </c>
      <c r="C184">
        <v>8</v>
      </c>
      <c r="D184" s="1">
        <v>40645</v>
      </c>
      <c r="E184" t="s">
        <v>33</v>
      </c>
      <c r="F184" t="s">
        <v>34</v>
      </c>
      <c r="G184" t="s">
        <v>35</v>
      </c>
      <c r="H184" t="s">
        <v>87</v>
      </c>
      <c r="I184" t="s">
        <v>87</v>
      </c>
      <c r="J184" t="s">
        <v>37</v>
      </c>
      <c r="K184">
        <v>140</v>
      </c>
      <c r="L184">
        <v>4</v>
      </c>
      <c r="M184">
        <v>143</v>
      </c>
      <c r="N184">
        <v>1</v>
      </c>
      <c r="O184" t="s">
        <v>87</v>
      </c>
      <c r="P184" t="s">
        <v>38</v>
      </c>
      <c r="Q184">
        <v>0</v>
      </c>
      <c r="R184">
        <v>9</v>
      </c>
      <c r="S184" t="s">
        <v>266</v>
      </c>
      <c r="T184" t="s">
        <v>614</v>
      </c>
      <c r="U184" t="s">
        <v>312</v>
      </c>
      <c r="V184" t="s">
        <v>276</v>
      </c>
      <c r="W184" t="s">
        <v>81</v>
      </c>
      <c r="X184" t="s">
        <v>158</v>
      </c>
      <c r="Y184" t="s">
        <v>45</v>
      </c>
      <c r="Z184">
        <v>20</v>
      </c>
      <c r="AA184">
        <v>6</v>
      </c>
      <c r="AB184" t="s">
        <v>46</v>
      </c>
      <c r="AC184" t="s">
        <v>47</v>
      </c>
      <c r="AD184" t="s">
        <v>629</v>
      </c>
      <c r="AE184" t="s">
        <v>618</v>
      </c>
    </row>
    <row r="185" spans="1:31" x14ac:dyDescent="0.2">
      <c r="A185" t="s">
        <v>31</v>
      </c>
      <c r="B185">
        <v>2011</v>
      </c>
      <c r="C185">
        <v>9</v>
      </c>
      <c r="D185" s="1">
        <v>40646</v>
      </c>
      <c r="E185" t="s">
        <v>50</v>
      </c>
      <c r="F185" t="s">
        <v>51</v>
      </c>
      <c r="G185" t="s">
        <v>52</v>
      </c>
      <c r="H185" t="s">
        <v>53</v>
      </c>
      <c r="I185" t="s">
        <v>52</v>
      </c>
      <c r="J185" t="s">
        <v>37</v>
      </c>
      <c r="K185">
        <v>193</v>
      </c>
      <c r="L185">
        <v>4</v>
      </c>
      <c r="M185">
        <v>188</v>
      </c>
      <c r="N185">
        <v>4</v>
      </c>
      <c r="O185" t="s">
        <v>52</v>
      </c>
      <c r="P185" t="s">
        <v>38</v>
      </c>
      <c r="Q185">
        <v>0</v>
      </c>
      <c r="R185">
        <v>6</v>
      </c>
      <c r="S185" t="s">
        <v>630</v>
      </c>
      <c r="T185" t="s">
        <v>56</v>
      </c>
      <c r="U185" t="s">
        <v>41</v>
      </c>
      <c r="V185" t="s">
        <v>58</v>
      </c>
      <c r="W185" t="s">
        <v>43</v>
      </c>
      <c r="X185" t="s">
        <v>631</v>
      </c>
      <c r="Y185" t="s">
        <v>45</v>
      </c>
      <c r="Z185">
        <v>20</v>
      </c>
      <c r="AA185">
        <v>6</v>
      </c>
      <c r="AB185" t="s">
        <v>46</v>
      </c>
      <c r="AC185" t="s">
        <v>47</v>
      </c>
      <c r="AD185" t="s">
        <v>632</v>
      </c>
      <c r="AE185" t="s">
        <v>633</v>
      </c>
    </row>
    <row r="186" spans="1:31" x14ac:dyDescent="0.2">
      <c r="A186" t="s">
        <v>31</v>
      </c>
      <c r="B186">
        <v>2011</v>
      </c>
      <c r="C186">
        <v>10</v>
      </c>
      <c r="D186" s="1">
        <v>40646</v>
      </c>
      <c r="E186" t="s">
        <v>85</v>
      </c>
      <c r="F186" t="s">
        <v>131</v>
      </c>
      <c r="G186" t="s">
        <v>619</v>
      </c>
      <c r="H186" t="s">
        <v>613</v>
      </c>
      <c r="I186" t="s">
        <v>613</v>
      </c>
      <c r="J186" t="s">
        <v>54</v>
      </c>
      <c r="K186">
        <v>151</v>
      </c>
      <c r="L186">
        <v>6</v>
      </c>
      <c r="M186">
        <v>148</v>
      </c>
      <c r="N186">
        <v>8</v>
      </c>
      <c r="O186" t="s">
        <v>619</v>
      </c>
      <c r="P186" t="s">
        <v>38</v>
      </c>
      <c r="Q186">
        <v>0</v>
      </c>
      <c r="R186">
        <v>4</v>
      </c>
      <c r="S186" t="s">
        <v>634</v>
      </c>
      <c r="T186" t="s">
        <v>40</v>
      </c>
      <c r="U186" t="s">
        <v>316</v>
      </c>
      <c r="V186" t="s">
        <v>604</v>
      </c>
      <c r="W186" t="s">
        <v>137</v>
      </c>
      <c r="X186" t="s">
        <v>621</v>
      </c>
      <c r="Y186" t="s">
        <v>45</v>
      </c>
      <c r="Z186">
        <v>20</v>
      </c>
      <c r="AA186">
        <v>6</v>
      </c>
      <c r="AB186" t="s">
        <v>46</v>
      </c>
      <c r="AC186" t="s">
        <v>47</v>
      </c>
      <c r="AD186" t="s">
        <v>635</v>
      </c>
      <c r="AE186" t="s">
        <v>636</v>
      </c>
    </row>
    <row r="187" spans="1:31" x14ac:dyDescent="0.2">
      <c r="A187" t="s">
        <v>31</v>
      </c>
      <c r="B187">
        <v>2011</v>
      </c>
      <c r="C187">
        <v>11</v>
      </c>
      <c r="D187" s="1">
        <v>40647</v>
      </c>
      <c r="E187" t="s">
        <v>101</v>
      </c>
      <c r="F187" t="s">
        <v>102</v>
      </c>
      <c r="G187" t="s">
        <v>77</v>
      </c>
      <c r="H187" t="s">
        <v>35</v>
      </c>
      <c r="I187" t="s">
        <v>35</v>
      </c>
      <c r="J187" t="s">
        <v>37</v>
      </c>
      <c r="K187">
        <v>175</v>
      </c>
      <c r="L187">
        <v>5</v>
      </c>
      <c r="M187">
        <v>142</v>
      </c>
      <c r="N187">
        <v>9</v>
      </c>
      <c r="O187" t="s">
        <v>77</v>
      </c>
      <c r="P187" t="s">
        <v>38</v>
      </c>
      <c r="Q187">
        <v>33</v>
      </c>
      <c r="R187">
        <v>0</v>
      </c>
      <c r="S187" t="s">
        <v>637</v>
      </c>
      <c r="T187" t="s">
        <v>293</v>
      </c>
      <c r="U187" t="s">
        <v>42</v>
      </c>
      <c r="V187" t="s">
        <v>111</v>
      </c>
      <c r="W187" t="s">
        <v>124</v>
      </c>
      <c r="X187" t="s">
        <v>105</v>
      </c>
      <c r="Y187" t="s">
        <v>45</v>
      </c>
      <c r="Z187">
        <v>20</v>
      </c>
      <c r="AA187">
        <v>6</v>
      </c>
      <c r="AB187" t="s">
        <v>46</v>
      </c>
      <c r="AC187" t="s">
        <v>47</v>
      </c>
      <c r="AD187" t="s">
        <v>638</v>
      </c>
      <c r="AE187" t="s">
        <v>639</v>
      </c>
    </row>
    <row r="188" spans="1:31" x14ac:dyDescent="0.2">
      <c r="A188" t="s">
        <v>31</v>
      </c>
      <c r="B188">
        <v>2011</v>
      </c>
      <c r="C188">
        <v>12</v>
      </c>
      <c r="D188" s="1">
        <v>40648</v>
      </c>
      <c r="E188" t="s">
        <v>95</v>
      </c>
      <c r="F188" t="s">
        <v>96</v>
      </c>
      <c r="G188" t="s">
        <v>66</v>
      </c>
      <c r="H188" t="s">
        <v>36</v>
      </c>
      <c r="I188" t="s">
        <v>36</v>
      </c>
      <c r="J188" t="s">
        <v>37</v>
      </c>
      <c r="K188">
        <v>159</v>
      </c>
      <c r="L188">
        <v>4</v>
      </c>
      <c r="M188">
        <v>160</v>
      </c>
      <c r="N188">
        <v>1</v>
      </c>
      <c r="O188" t="s">
        <v>36</v>
      </c>
      <c r="P188" t="s">
        <v>38</v>
      </c>
      <c r="Q188">
        <v>0</v>
      </c>
      <c r="R188">
        <v>9</v>
      </c>
      <c r="S188" t="s">
        <v>366</v>
      </c>
      <c r="T188" t="s">
        <v>440</v>
      </c>
      <c r="U188" t="s">
        <v>69</v>
      </c>
      <c r="V188" t="s">
        <v>354</v>
      </c>
      <c r="W188" t="s">
        <v>59</v>
      </c>
      <c r="X188" t="s">
        <v>626</v>
      </c>
      <c r="Y188" t="s">
        <v>45</v>
      </c>
      <c r="Z188">
        <v>20</v>
      </c>
      <c r="AA188">
        <v>6</v>
      </c>
      <c r="AB188" t="s">
        <v>46</v>
      </c>
      <c r="AC188" t="s">
        <v>47</v>
      </c>
      <c r="AD188" t="s">
        <v>640</v>
      </c>
      <c r="AE188" t="s">
        <v>641</v>
      </c>
    </row>
    <row r="189" spans="1:31" x14ac:dyDescent="0.2">
      <c r="A189" t="s">
        <v>31</v>
      </c>
      <c r="B189">
        <v>2011</v>
      </c>
      <c r="C189">
        <v>13</v>
      </c>
      <c r="D189" s="1">
        <v>40648</v>
      </c>
      <c r="E189" t="s">
        <v>85</v>
      </c>
      <c r="F189" t="s">
        <v>86</v>
      </c>
      <c r="G189" t="s">
        <v>87</v>
      </c>
      <c r="H189" t="s">
        <v>613</v>
      </c>
      <c r="I189" t="s">
        <v>613</v>
      </c>
      <c r="J189" t="s">
        <v>37</v>
      </c>
      <c r="K189">
        <v>182</v>
      </c>
      <c r="L189">
        <v>2</v>
      </c>
      <c r="M189">
        <v>184</v>
      </c>
      <c r="N189">
        <v>2</v>
      </c>
      <c r="O189" t="s">
        <v>613</v>
      </c>
      <c r="P189" t="s">
        <v>38</v>
      </c>
      <c r="Q189">
        <v>0</v>
      </c>
      <c r="R189">
        <v>8</v>
      </c>
      <c r="S189" t="s">
        <v>39</v>
      </c>
      <c r="T189" t="s">
        <v>40</v>
      </c>
      <c r="U189" t="s">
        <v>137</v>
      </c>
      <c r="V189" t="s">
        <v>604</v>
      </c>
      <c r="W189" t="s">
        <v>316</v>
      </c>
      <c r="X189" t="s">
        <v>642</v>
      </c>
      <c r="Y189" t="s">
        <v>45</v>
      </c>
      <c r="Z189">
        <v>20</v>
      </c>
      <c r="AA189">
        <v>6</v>
      </c>
      <c r="AB189" t="s">
        <v>46</v>
      </c>
      <c r="AC189" t="s">
        <v>47</v>
      </c>
      <c r="AD189" t="s">
        <v>643</v>
      </c>
      <c r="AE189" t="s">
        <v>644</v>
      </c>
    </row>
    <row r="190" spans="1:31" x14ac:dyDescent="0.2">
      <c r="A190" t="s">
        <v>31</v>
      </c>
      <c r="B190">
        <v>2011</v>
      </c>
      <c r="C190">
        <v>14</v>
      </c>
      <c r="D190" s="1">
        <v>40649</v>
      </c>
      <c r="E190" t="s">
        <v>108</v>
      </c>
      <c r="F190" t="s">
        <v>109</v>
      </c>
      <c r="G190" t="s">
        <v>53</v>
      </c>
      <c r="H190" t="s">
        <v>35</v>
      </c>
      <c r="I190" t="s">
        <v>53</v>
      </c>
      <c r="J190" t="s">
        <v>54</v>
      </c>
      <c r="K190">
        <v>183</v>
      </c>
      <c r="L190">
        <v>5</v>
      </c>
      <c r="M190">
        <v>162</v>
      </c>
      <c r="N190">
        <v>7</v>
      </c>
      <c r="O190" t="s">
        <v>53</v>
      </c>
      <c r="P190" t="s">
        <v>38</v>
      </c>
      <c r="Q190">
        <v>21</v>
      </c>
      <c r="R190">
        <v>0</v>
      </c>
      <c r="S190" t="s">
        <v>55</v>
      </c>
      <c r="T190" t="s">
        <v>614</v>
      </c>
      <c r="U190" t="s">
        <v>312</v>
      </c>
      <c r="V190" t="s">
        <v>276</v>
      </c>
      <c r="W190" t="s">
        <v>81</v>
      </c>
      <c r="X190" t="s">
        <v>605</v>
      </c>
      <c r="Y190" t="s">
        <v>45</v>
      </c>
      <c r="Z190">
        <v>20</v>
      </c>
      <c r="AA190">
        <v>6</v>
      </c>
      <c r="AB190" t="s">
        <v>46</v>
      </c>
      <c r="AC190" t="s">
        <v>47</v>
      </c>
      <c r="AD190" t="s">
        <v>645</v>
      </c>
      <c r="AE190" t="s">
        <v>646</v>
      </c>
    </row>
    <row r="191" spans="1:31" x14ac:dyDescent="0.2">
      <c r="A191" t="s">
        <v>31</v>
      </c>
      <c r="B191">
        <v>2011</v>
      </c>
      <c r="C191">
        <v>15</v>
      </c>
      <c r="D191" s="1">
        <v>40649</v>
      </c>
      <c r="E191" t="s">
        <v>101</v>
      </c>
      <c r="F191" t="s">
        <v>102</v>
      </c>
      <c r="G191" t="s">
        <v>77</v>
      </c>
      <c r="H191" t="s">
        <v>52</v>
      </c>
      <c r="I191" t="s">
        <v>52</v>
      </c>
      <c r="J191" t="s">
        <v>37</v>
      </c>
      <c r="K191">
        <v>165</v>
      </c>
      <c r="L191">
        <v>8</v>
      </c>
      <c r="M191">
        <v>166</v>
      </c>
      <c r="N191">
        <v>2</v>
      </c>
      <c r="O191" t="s">
        <v>52</v>
      </c>
      <c r="P191" t="s">
        <v>38</v>
      </c>
      <c r="Q191">
        <v>0</v>
      </c>
      <c r="R191">
        <v>8</v>
      </c>
      <c r="S191" t="s">
        <v>630</v>
      </c>
      <c r="T191" t="s">
        <v>293</v>
      </c>
      <c r="U191" t="s">
        <v>42</v>
      </c>
      <c r="V191" t="s">
        <v>111</v>
      </c>
      <c r="W191" t="s">
        <v>124</v>
      </c>
      <c r="X191" t="s">
        <v>105</v>
      </c>
      <c r="Y191" t="s">
        <v>45</v>
      </c>
      <c r="Z191">
        <v>20</v>
      </c>
      <c r="AA191">
        <v>6</v>
      </c>
      <c r="AB191" t="s">
        <v>46</v>
      </c>
      <c r="AC191" t="s">
        <v>47</v>
      </c>
      <c r="AD191" t="s">
        <v>647</v>
      </c>
      <c r="AE191" t="s">
        <v>648</v>
      </c>
    </row>
    <row r="192" spans="1:31" x14ac:dyDescent="0.2">
      <c r="A192" t="s">
        <v>31</v>
      </c>
      <c r="B192">
        <v>2011</v>
      </c>
      <c r="C192">
        <v>16</v>
      </c>
      <c r="D192" s="1">
        <v>40650</v>
      </c>
      <c r="E192" t="s">
        <v>85</v>
      </c>
      <c r="F192" t="s">
        <v>131</v>
      </c>
      <c r="G192" t="s">
        <v>619</v>
      </c>
      <c r="H192" t="s">
        <v>65</v>
      </c>
      <c r="I192" t="s">
        <v>65</v>
      </c>
      <c r="J192" t="s">
        <v>37</v>
      </c>
      <c r="K192">
        <v>187</v>
      </c>
      <c r="L192">
        <v>5</v>
      </c>
      <c r="M192">
        <v>190</v>
      </c>
      <c r="N192">
        <v>7</v>
      </c>
      <c r="O192" t="s">
        <v>65</v>
      </c>
      <c r="P192" t="s">
        <v>38</v>
      </c>
      <c r="Q192">
        <v>0</v>
      </c>
      <c r="R192">
        <v>3</v>
      </c>
      <c r="S192" t="s">
        <v>346</v>
      </c>
      <c r="T192" t="s">
        <v>56</v>
      </c>
      <c r="U192" t="s">
        <v>41</v>
      </c>
      <c r="V192" t="s">
        <v>43</v>
      </c>
      <c r="W192" t="s">
        <v>58</v>
      </c>
      <c r="X192" t="s">
        <v>621</v>
      </c>
      <c r="Y192" t="s">
        <v>45</v>
      </c>
      <c r="Z192">
        <v>20</v>
      </c>
      <c r="AA192">
        <v>6</v>
      </c>
      <c r="AB192" t="s">
        <v>46</v>
      </c>
      <c r="AC192" t="s">
        <v>47</v>
      </c>
      <c r="AD192" t="s">
        <v>649</v>
      </c>
      <c r="AE192" t="s">
        <v>650</v>
      </c>
    </row>
    <row r="193" spans="1:31" x14ac:dyDescent="0.2">
      <c r="A193" t="s">
        <v>31</v>
      </c>
      <c r="B193">
        <v>2011</v>
      </c>
      <c r="C193">
        <v>17</v>
      </c>
      <c r="D193" s="1">
        <v>40650</v>
      </c>
      <c r="E193" t="s">
        <v>75</v>
      </c>
      <c r="F193" t="s">
        <v>76</v>
      </c>
      <c r="G193" t="s">
        <v>36</v>
      </c>
      <c r="H193" t="s">
        <v>66</v>
      </c>
      <c r="I193" t="s">
        <v>36</v>
      </c>
      <c r="J193" t="s">
        <v>37</v>
      </c>
      <c r="K193">
        <v>85</v>
      </c>
      <c r="L193">
        <v>2</v>
      </c>
      <c r="M193">
        <v>81</v>
      </c>
      <c r="N193">
        <v>10</v>
      </c>
      <c r="O193" t="s">
        <v>36</v>
      </c>
      <c r="P193" t="s">
        <v>38</v>
      </c>
      <c r="Q193">
        <v>0</v>
      </c>
      <c r="R193">
        <v>8</v>
      </c>
      <c r="S193" t="s">
        <v>187</v>
      </c>
      <c r="T193" t="s">
        <v>440</v>
      </c>
      <c r="U193" t="s">
        <v>69</v>
      </c>
      <c r="V193" t="s">
        <v>59</v>
      </c>
      <c r="W193" t="s">
        <v>354</v>
      </c>
      <c r="X193" t="s">
        <v>454</v>
      </c>
      <c r="Y193" t="s">
        <v>45</v>
      </c>
      <c r="Z193">
        <v>20</v>
      </c>
      <c r="AA193">
        <v>6</v>
      </c>
      <c r="AB193" t="s">
        <v>46</v>
      </c>
      <c r="AC193" t="s">
        <v>47</v>
      </c>
      <c r="AD193" t="s">
        <v>651</v>
      </c>
      <c r="AE193" t="s">
        <v>652</v>
      </c>
    </row>
    <row r="194" spans="1:31" x14ac:dyDescent="0.2">
      <c r="A194" t="s">
        <v>31</v>
      </c>
      <c r="B194">
        <v>2011</v>
      </c>
      <c r="C194">
        <v>18</v>
      </c>
      <c r="D194" s="1">
        <v>40651</v>
      </c>
      <c r="E194" t="s">
        <v>611</v>
      </c>
      <c r="F194" t="s">
        <v>612</v>
      </c>
      <c r="G194" t="s">
        <v>613</v>
      </c>
      <c r="H194" t="s">
        <v>53</v>
      </c>
      <c r="I194" t="s">
        <v>613</v>
      </c>
      <c r="J194" t="s">
        <v>37</v>
      </c>
      <c r="K194">
        <v>135</v>
      </c>
      <c r="L194">
        <v>3</v>
      </c>
      <c r="M194">
        <v>131</v>
      </c>
      <c r="N194">
        <v>4</v>
      </c>
      <c r="O194" t="s">
        <v>613</v>
      </c>
      <c r="P194" t="s">
        <v>38</v>
      </c>
      <c r="Q194">
        <v>0</v>
      </c>
      <c r="R194">
        <v>7</v>
      </c>
      <c r="S194" t="s">
        <v>39</v>
      </c>
      <c r="T194" t="s">
        <v>614</v>
      </c>
      <c r="U194" t="s">
        <v>81</v>
      </c>
      <c r="V194" t="s">
        <v>276</v>
      </c>
      <c r="W194" t="s">
        <v>312</v>
      </c>
      <c r="X194" t="s">
        <v>463</v>
      </c>
      <c r="Y194" t="s">
        <v>45</v>
      </c>
      <c r="Z194">
        <v>20</v>
      </c>
      <c r="AA194">
        <v>6</v>
      </c>
      <c r="AB194" t="s">
        <v>46</v>
      </c>
      <c r="AC194" t="s">
        <v>47</v>
      </c>
      <c r="AD194" t="s">
        <v>653</v>
      </c>
      <c r="AE194" t="s">
        <v>654</v>
      </c>
    </row>
    <row r="195" spans="1:31" x14ac:dyDescent="0.2">
      <c r="A195" t="s">
        <v>31</v>
      </c>
      <c r="B195">
        <v>2011</v>
      </c>
      <c r="C195">
        <v>19</v>
      </c>
      <c r="D195" s="1">
        <v>40652</v>
      </c>
      <c r="E195" t="s">
        <v>63</v>
      </c>
      <c r="F195" t="s">
        <v>64</v>
      </c>
      <c r="G195" t="s">
        <v>65</v>
      </c>
      <c r="H195" t="s">
        <v>77</v>
      </c>
      <c r="I195" t="s">
        <v>77</v>
      </c>
      <c r="J195" t="s">
        <v>54</v>
      </c>
      <c r="K195">
        <v>152</v>
      </c>
      <c r="L195">
        <v>7</v>
      </c>
      <c r="M195">
        <v>168</v>
      </c>
      <c r="N195">
        <v>4</v>
      </c>
      <c r="O195" t="s">
        <v>77</v>
      </c>
      <c r="P195" t="s">
        <v>38</v>
      </c>
      <c r="Q195">
        <v>16</v>
      </c>
      <c r="R195">
        <v>0</v>
      </c>
      <c r="S195" t="s">
        <v>655</v>
      </c>
      <c r="T195" t="s">
        <v>40</v>
      </c>
      <c r="U195" t="s">
        <v>604</v>
      </c>
      <c r="V195" t="s">
        <v>656</v>
      </c>
      <c r="W195" t="s">
        <v>316</v>
      </c>
      <c r="X195" t="s">
        <v>146</v>
      </c>
      <c r="Y195" t="s">
        <v>45</v>
      </c>
      <c r="Z195">
        <v>20</v>
      </c>
      <c r="AA195">
        <v>6</v>
      </c>
      <c r="AB195" t="s">
        <v>46</v>
      </c>
      <c r="AC195" t="s">
        <v>47</v>
      </c>
      <c r="AD195" t="s">
        <v>657</v>
      </c>
      <c r="AE195" t="s">
        <v>658</v>
      </c>
    </row>
    <row r="196" spans="1:31" x14ac:dyDescent="0.2">
      <c r="A196" t="s">
        <v>31</v>
      </c>
      <c r="B196">
        <v>2011</v>
      </c>
      <c r="C196">
        <v>21</v>
      </c>
      <c r="D196" s="1">
        <v>40653</v>
      </c>
      <c r="E196" t="s">
        <v>85</v>
      </c>
      <c r="F196" t="s">
        <v>86</v>
      </c>
      <c r="G196" t="s">
        <v>87</v>
      </c>
      <c r="H196" t="s">
        <v>619</v>
      </c>
      <c r="I196" t="s">
        <v>619</v>
      </c>
      <c r="J196" t="s">
        <v>54</v>
      </c>
      <c r="K196">
        <v>124</v>
      </c>
      <c r="L196">
        <v>3</v>
      </c>
      <c r="M196">
        <v>118</v>
      </c>
      <c r="N196">
        <v>10</v>
      </c>
      <c r="O196" t="s">
        <v>87</v>
      </c>
      <c r="P196" t="s">
        <v>38</v>
      </c>
      <c r="Q196">
        <v>0</v>
      </c>
      <c r="R196">
        <v>7</v>
      </c>
      <c r="S196" t="s">
        <v>659</v>
      </c>
      <c r="T196" t="s">
        <v>614</v>
      </c>
      <c r="U196" t="s">
        <v>41</v>
      </c>
      <c r="V196" t="s">
        <v>43</v>
      </c>
      <c r="W196" t="s">
        <v>58</v>
      </c>
      <c r="X196" t="s">
        <v>642</v>
      </c>
      <c r="Y196" t="s">
        <v>45</v>
      </c>
      <c r="Z196">
        <v>20</v>
      </c>
      <c r="AA196">
        <v>6</v>
      </c>
      <c r="AB196" t="s">
        <v>46</v>
      </c>
      <c r="AC196" t="s">
        <v>47</v>
      </c>
      <c r="AD196" t="s">
        <v>660</v>
      </c>
      <c r="AE196" t="s">
        <v>661</v>
      </c>
    </row>
    <row r="197" spans="1:31" x14ac:dyDescent="0.2">
      <c r="A197" t="s">
        <v>31</v>
      </c>
      <c r="B197">
        <v>2011</v>
      </c>
      <c r="C197">
        <v>22</v>
      </c>
      <c r="D197" s="1">
        <v>40653</v>
      </c>
      <c r="E197" t="s">
        <v>75</v>
      </c>
      <c r="F197" t="s">
        <v>76</v>
      </c>
      <c r="G197" t="s">
        <v>36</v>
      </c>
      <c r="H197" t="s">
        <v>613</v>
      </c>
      <c r="I197" t="s">
        <v>36</v>
      </c>
      <c r="J197" t="s">
        <v>37</v>
      </c>
      <c r="K197">
        <v>126</v>
      </c>
      <c r="L197">
        <v>9</v>
      </c>
      <c r="M197">
        <v>132</v>
      </c>
      <c r="N197">
        <v>7</v>
      </c>
      <c r="O197" t="s">
        <v>613</v>
      </c>
      <c r="P197" t="s">
        <v>38</v>
      </c>
      <c r="Q197">
        <v>6</v>
      </c>
      <c r="R197">
        <v>0</v>
      </c>
      <c r="S197" t="s">
        <v>212</v>
      </c>
      <c r="T197" t="s">
        <v>440</v>
      </c>
      <c r="U197" t="s">
        <v>69</v>
      </c>
      <c r="V197" t="s">
        <v>59</v>
      </c>
      <c r="W197" t="s">
        <v>354</v>
      </c>
      <c r="X197" t="s">
        <v>454</v>
      </c>
      <c r="Y197" t="s">
        <v>45</v>
      </c>
      <c r="Z197">
        <v>20</v>
      </c>
      <c r="AA197">
        <v>6</v>
      </c>
      <c r="AB197" t="s">
        <v>46</v>
      </c>
      <c r="AC197" t="s">
        <v>47</v>
      </c>
      <c r="AD197" t="s">
        <v>662</v>
      </c>
      <c r="AE197" t="s">
        <v>663</v>
      </c>
    </row>
    <row r="198" spans="1:31" x14ac:dyDescent="0.2">
      <c r="A198" t="s">
        <v>31</v>
      </c>
      <c r="B198">
        <v>2011</v>
      </c>
      <c r="C198">
        <v>23</v>
      </c>
      <c r="D198" s="1">
        <v>40654</v>
      </c>
      <c r="E198" t="s">
        <v>50</v>
      </c>
      <c r="F198" t="s">
        <v>51</v>
      </c>
      <c r="G198" t="s">
        <v>52</v>
      </c>
      <c r="H198" t="s">
        <v>66</v>
      </c>
      <c r="I198" t="s">
        <v>66</v>
      </c>
      <c r="J198" t="s">
        <v>37</v>
      </c>
      <c r="K198">
        <v>195</v>
      </c>
      <c r="L198">
        <v>7</v>
      </c>
      <c r="M198">
        <v>147</v>
      </c>
      <c r="N198">
        <v>7</v>
      </c>
      <c r="O198" t="s">
        <v>52</v>
      </c>
      <c r="P198" t="s">
        <v>38</v>
      </c>
      <c r="Q198">
        <v>48</v>
      </c>
      <c r="R198">
        <v>0</v>
      </c>
      <c r="S198" t="s">
        <v>152</v>
      </c>
      <c r="T198" t="s">
        <v>40</v>
      </c>
      <c r="U198" t="s">
        <v>316</v>
      </c>
      <c r="V198" t="s">
        <v>604</v>
      </c>
      <c r="W198" t="s">
        <v>656</v>
      </c>
      <c r="X198" t="s">
        <v>631</v>
      </c>
      <c r="Y198" t="s">
        <v>45</v>
      </c>
      <c r="Z198">
        <v>20</v>
      </c>
      <c r="AA198">
        <v>6</v>
      </c>
      <c r="AB198" t="s">
        <v>46</v>
      </c>
      <c r="AC198" t="s">
        <v>47</v>
      </c>
      <c r="AD198" t="s">
        <v>664</v>
      </c>
      <c r="AE198" t="s">
        <v>665</v>
      </c>
    </row>
    <row r="199" spans="1:31" x14ac:dyDescent="0.2">
      <c r="A199" t="s">
        <v>31</v>
      </c>
      <c r="B199">
        <v>2011</v>
      </c>
      <c r="C199">
        <v>24</v>
      </c>
      <c r="D199" s="1">
        <v>40655</v>
      </c>
      <c r="E199" t="s">
        <v>75</v>
      </c>
      <c r="F199" t="s">
        <v>76</v>
      </c>
      <c r="G199" t="s">
        <v>36</v>
      </c>
      <c r="H199" t="s">
        <v>35</v>
      </c>
      <c r="I199" t="s">
        <v>35</v>
      </c>
      <c r="J199" t="s">
        <v>37</v>
      </c>
      <c r="K199">
        <v>171</v>
      </c>
      <c r="L199">
        <v>5</v>
      </c>
      <c r="M199">
        <v>175</v>
      </c>
      <c r="N199">
        <v>1</v>
      </c>
      <c r="O199" t="s">
        <v>35</v>
      </c>
      <c r="P199" t="s">
        <v>38</v>
      </c>
      <c r="Q199">
        <v>0</v>
      </c>
      <c r="R199">
        <v>9</v>
      </c>
      <c r="S199" t="s">
        <v>292</v>
      </c>
      <c r="T199" t="s">
        <v>440</v>
      </c>
      <c r="U199" t="s">
        <v>354</v>
      </c>
      <c r="V199" t="s">
        <v>59</v>
      </c>
      <c r="W199" t="s">
        <v>69</v>
      </c>
      <c r="X199" t="s">
        <v>454</v>
      </c>
      <c r="Y199" t="s">
        <v>45</v>
      </c>
      <c r="Z199">
        <v>20</v>
      </c>
      <c r="AA199">
        <v>6</v>
      </c>
      <c r="AB199" t="s">
        <v>46</v>
      </c>
      <c r="AC199" t="s">
        <v>47</v>
      </c>
      <c r="AD199" t="s">
        <v>666</v>
      </c>
      <c r="AE199" t="s">
        <v>667</v>
      </c>
    </row>
    <row r="200" spans="1:31" x14ac:dyDescent="0.2">
      <c r="A200" t="s">
        <v>31</v>
      </c>
      <c r="B200">
        <v>2011</v>
      </c>
      <c r="C200">
        <v>25</v>
      </c>
      <c r="D200" s="1">
        <v>40655</v>
      </c>
      <c r="E200" t="s">
        <v>85</v>
      </c>
      <c r="F200" t="s">
        <v>86</v>
      </c>
      <c r="G200" t="s">
        <v>87</v>
      </c>
      <c r="H200" t="s">
        <v>53</v>
      </c>
      <c r="I200" t="s">
        <v>53</v>
      </c>
      <c r="J200" t="s">
        <v>37</v>
      </c>
      <c r="K200">
        <v>164</v>
      </c>
      <c r="L200">
        <v>4</v>
      </c>
      <c r="M200">
        <v>156</v>
      </c>
      <c r="N200">
        <v>9</v>
      </c>
      <c r="O200" t="s">
        <v>87</v>
      </c>
      <c r="P200" t="s">
        <v>38</v>
      </c>
      <c r="Q200">
        <v>8</v>
      </c>
      <c r="R200">
        <v>0</v>
      </c>
      <c r="S200" t="s">
        <v>394</v>
      </c>
      <c r="T200" t="s">
        <v>614</v>
      </c>
      <c r="U200" t="s">
        <v>41</v>
      </c>
      <c r="V200" t="s">
        <v>43</v>
      </c>
      <c r="W200" t="s">
        <v>58</v>
      </c>
      <c r="X200" t="s">
        <v>642</v>
      </c>
      <c r="Y200" t="s">
        <v>45</v>
      </c>
      <c r="Z200">
        <v>20</v>
      </c>
      <c r="AA200">
        <v>6</v>
      </c>
      <c r="AB200" t="s">
        <v>46</v>
      </c>
      <c r="AC200" t="s">
        <v>47</v>
      </c>
      <c r="AD200" t="s">
        <v>668</v>
      </c>
      <c r="AE200" t="s">
        <v>669</v>
      </c>
    </row>
    <row r="201" spans="1:31" x14ac:dyDescent="0.2">
      <c r="A201" t="s">
        <v>31</v>
      </c>
      <c r="B201">
        <v>2011</v>
      </c>
      <c r="C201">
        <v>26</v>
      </c>
      <c r="D201" s="1">
        <v>40656</v>
      </c>
      <c r="E201" t="s">
        <v>63</v>
      </c>
      <c r="F201" t="s">
        <v>64</v>
      </c>
      <c r="G201" t="s">
        <v>65</v>
      </c>
      <c r="H201" t="s">
        <v>52</v>
      </c>
      <c r="I201" t="s">
        <v>52</v>
      </c>
      <c r="J201" t="s">
        <v>37</v>
      </c>
      <c r="K201">
        <v>231</v>
      </c>
      <c r="L201">
        <v>4</v>
      </c>
      <c r="M201">
        <v>202</v>
      </c>
      <c r="N201">
        <v>6</v>
      </c>
      <c r="O201" t="s">
        <v>65</v>
      </c>
      <c r="P201" t="s">
        <v>38</v>
      </c>
      <c r="Q201">
        <v>29</v>
      </c>
      <c r="R201">
        <v>0</v>
      </c>
      <c r="S201" t="s">
        <v>512</v>
      </c>
      <c r="T201" t="s">
        <v>40</v>
      </c>
      <c r="U201" t="s">
        <v>316</v>
      </c>
      <c r="V201" t="s">
        <v>42</v>
      </c>
      <c r="W201" t="s">
        <v>604</v>
      </c>
      <c r="X201" t="s">
        <v>146</v>
      </c>
      <c r="Y201" t="s">
        <v>45</v>
      </c>
      <c r="Z201">
        <v>20</v>
      </c>
      <c r="AA201">
        <v>6</v>
      </c>
      <c r="AB201" t="s">
        <v>46</v>
      </c>
      <c r="AC201" t="s">
        <v>47</v>
      </c>
      <c r="AD201" t="s">
        <v>670</v>
      </c>
      <c r="AE201" t="s">
        <v>671</v>
      </c>
    </row>
    <row r="202" spans="1:31" x14ac:dyDescent="0.2">
      <c r="A202" t="s">
        <v>31</v>
      </c>
      <c r="B202">
        <v>2011</v>
      </c>
      <c r="C202">
        <v>27</v>
      </c>
      <c r="D202" s="1">
        <v>40657</v>
      </c>
      <c r="E202" t="s">
        <v>101</v>
      </c>
      <c r="F202" t="s">
        <v>102</v>
      </c>
      <c r="G202" t="s">
        <v>77</v>
      </c>
      <c r="H202" t="s">
        <v>87</v>
      </c>
      <c r="I202" t="s">
        <v>77</v>
      </c>
      <c r="J202" t="s">
        <v>37</v>
      </c>
      <c r="K202">
        <v>135</v>
      </c>
      <c r="L202">
        <v>8</v>
      </c>
      <c r="M202">
        <v>172</v>
      </c>
      <c r="N202">
        <v>4</v>
      </c>
      <c r="O202" t="s">
        <v>87</v>
      </c>
      <c r="P202" t="s">
        <v>38</v>
      </c>
      <c r="Q202">
        <v>37</v>
      </c>
      <c r="R202">
        <v>0</v>
      </c>
      <c r="S202" t="s">
        <v>515</v>
      </c>
      <c r="T202" t="s">
        <v>614</v>
      </c>
      <c r="U202" t="s">
        <v>312</v>
      </c>
      <c r="V202" t="s">
        <v>276</v>
      </c>
      <c r="W202" t="s">
        <v>81</v>
      </c>
      <c r="X202" t="s">
        <v>105</v>
      </c>
      <c r="Y202" t="s">
        <v>45</v>
      </c>
      <c r="Z202">
        <v>20</v>
      </c>
      <c r="AA202">
        <v>6</v>
      </c>
      <c r="AB202" t="s">
        <v>46</v>
      </c>
      <c r="AC202" t="s">
        <v>47</v>
      </c>
      <c r="AD202" t="s">
        <v>672</v>
      </c>
      <c r="AE202" t="s">
        <v>673</v>
      </c>
    </row>
    <row r="203" spans="1:31" x14ac:dyDescent="0.2">
      <c r="A203" t="s">
        <v>31</v>
      </c>
      <c r="B203">
        <v>2011</v>
      </c>
      <c r="C203">
        <v>28</v>
      </c>
      <c r="D203" s="1">
        <v>40657</v>
      </c>
      <c r="E203" t="s">
        <v>95</v>
      </c>
      <c r="F203" t="s">
        <v>96</v>
      </c>
      <c r="G203" t="s">
        <v>66</v>
      </c>
      <c r="H203" t="s">
        <v>613</v>
      </c>
      <c r="I203" t="s">
        <v>66</v>
      </c>
      <c r="J203" t="s">
        <v>37</v>
      </c>
      <c r="K203">
        <v>111</v>
      </c>
      <c r="L203">
        <v>2</v>
      </c>
      <c r="M203">
        <v>109</v>
      </c>
      <c r="N203">
        <v>10</v>
      </c>
      <c r="O203" t="s">
        <v>66</v>
      </c>
      <c r="P203" t="s">
        <v>38</v>
      </c>
      <c r="Q203">
        <v>0</v>
      </c>
      <c r="R203">
        <v>8</v>
      </c>
      <c r="S203" t="s">
        <v>402</v>
      </c>
      <c r="T203" t="s">
        <v>293</v>
      </c>
      <c r="U203" t="s">
        <v>137</v>
      </c>
      <c r="V203" t="s">
        <v>124</v>
      </c>
      <c r="W203" t="s">
        <v>111</v>
      </c>
      <c r="X203" t="s">
        <v>626</v>
      </c>
      <c r="Y203" t="s">
        <v>45</v>
      </c>
      <c r="Z203">
        <v>20</v>
      </c>
      <c r="AA203">
        <v>6</v>
      </c>
      <c r="AB203" t="s">
        <v>46</v>
      </c>
      <c r="AC203" t="s">
        <v>47</v>
      </c>
      <c r="AD203" t="s">
        <v>674</v>
      </c>
      <c r="AE203" t="s">
        <v>675</v>
      </c>
    </row>
    <row r="204" spans="1:31" x14ac:dyDescent="0.2">
      <c r="A204" t="s">
        <v>31</v>
      </c>
      <c r="B204">
        <v>2011</v>
      </c>
      <c r="C204">
        <v>29</v>
      </c>
      <c r="D204" s="1">
        <v>40658</v>
      </c>
      <c r="E204" t="s">
        <v>108</v>
      </c>
      <c r="F204" t="s">
        <v>109</v>
      </c>
      <c r="G204" t="s">
        <v>53</v>
      </c>
      <c r="H204" t="s">
        <v>619</v>
      </c>
      <c r="I204" t="s">
        <v>619</v>
      </c>
      <c r="J204" t="s">
        <v>37</v>
      </c>
      <c r="K204">
        <v>142</v>
      </c>
      <c r="L204">
        <v>6</v>
      </c>
      <c r="M204">
        <v>117</v>
      </c>
      <c r="N204">
        <v>9</v>
      </c>
      <c r="O204" t="s">
        <v>53</v>
      </c>
      <c r="P204" t="s">
        <v>38</v>
      </c>
      <c r="Q204">
        <v>25</v>
      </c>
      <c r="R204">
        <v>0</v>
      </c>
      <c r="S204" t="s">
        <v>55</v>
      </c>
      <c r="T204" t="s">
        <v>440</v>
      </c>
      <c r="U204" t="s">
        <v>69</v>
      </c>
      <c r="V204" t="s">
        <v>59</v>
      </c>
      <c r="W204" t="s">
        <v>354</v>
      </c>
      <c r="X204" t="s">
        <v>605</v>
      </c>
      <c r="Y204" t="s">
        <v>45</v>
      </c>
      <c r="Z204">
        <v>20</v>
      </c>
      <c r="AA204">
        <v>6</v>
      </c>
      <c r="AB204" t="s">
        <v>46</v>
      </c>
      <c r="AC204" t="s">
        <v>47</v>
      </c>
      <c r="AD204" t="s">
        <v>676</v>
      </c>
      <c r="AE204" t="s">
        <v>677</v>
      </c>
    </row>
    <row r="205" spans="1:31" x14ac:dyDescent="0.2">
      <c r="A205" t="s">
        <v>31</v>
      </c>
      <c r="B205">
        <v>2011</v>
      </c>
      <c r="C205">
        <v>30</v>
      </c>
      <c r="D205" s="1">
        <v>40659</v>
      </c>
      <c r="E205" t="s">
        <v>63</v>
      </c>
      <c r="F205" t="s">
        <v>64</v>
      </c>
      <c r="G205" t="s">
        <v>65</v>
      </c>
      <c r="H205" t="s">
        <v>35</v>
      </c>
      <c r="I205" t="s">
        <v>35</v>
      </c>
      <c r="J205" t="s">
        <v>37</v>
      </c>
      <c r="K205">
        <v>160</v>
      </c>
      <c r="L205">
        <v>6</v>
      </c>
      <c r="M205">
        <v>161</v>
      </c>
      <c r="N205">
        <v>7</v>
      </c>
      <c r="O205" t="s">
        <v>35</v>
      </c>
      <c r="P205" t="s">
        <v>38</v>
      </c>
      <c r="Q205">
        <v>0</v>
      </c>
      <c r="R205">
        <v>3</v>
      </c>
      <c r="S205" t="s">
        <v>678</v>
      </c>
      <c r="T205" t="s">
        <v>40</v>
      </c>
      <c r="U205" t="s">
        <v>316</v>
      </c>
      <c r="V205" t="s">
        <v>656</v>
      </c>
      <c r="W205" t="s">
        <v>604</v>
      </c>
      <c r="X205" t="s">
        <v>146</v>
      </c>
      <c r="Y205" t="s">
        <v>45</v>
      </c>
      <c r="Z205">
        <v>20</v>
      </c>
      <c r="AA205">
        <v>6</v>
      </c>
      <c r="AB205" t="s">
        <v>46</v>
      </c>
      <c r="AC205" t="s">
        <v>47</v>
      </c>
      <c r="AD205" t="s">
        <v>679</v>
      </c>
      <c r="AE205" t="s">
        <v>680</v>
      </c>
    </row>
    <row r="206" spans="1:31" x14ac:dyDescent="0.2">
      <c r="A206" t="s">
        <v>31</v>
      </c>
      <c r="B206">
        <v>2011</v>
      </c>
      <c r="C206">
        <v>31</v>
      </c>
      <c r="D206" s="1">
        <v>40660</v>
      </c>
      <c r="E206" t="s">
        <v>85</v>
      </c>
      <c r="F206" t="s">
        <v>131</v>
      </c>
      <c r="G206" t="s">
        <v>619</v>
      </c>
      <c r="H206" t="s">
        <v>53</v>
      </c>
      <c r="I206" t="s">
        <v>619</v>
      </c>
      <c r="J206" t="s">
        <v>54</v>
      </c>
      <c r="K206">
        <v>141</v>
      </c>
      <c r="L206">
        <v>6</v>
      </c>
      <c r="M206">
        <v>145</v>
      </c>
      <c r="N206">
        <v>2</v>
      </c>
      <c r="O206" t="s">
        <v>53</v>
      </c>
      <c r="P206" t="s">
        <v>38</v>
      </c>
      <c r="Q206">
        <v>0</v>
      </c>
      <c r="R206">
        <v>8</v>
      </c>
      <c r="S206" t="s">
        <v>597</v>
      </c>
      <c r="T206" t="s">
        <v>681</v>
      </c>
      <c r="U206" t="s">
        <v>41</v>
      </c>
      <c r="V206" t="s">
        <v>58</v>
      </c>
      <c r="W206" t="s">
        <v>43</v>
      </c>
      <c r="X206" t="s">
        <v>621</v>
      </c>
      <c r="Y206" t="s">
        <v>45</v>
      </c>
      <c r="Z206">
        <v>20</v>
      </c>
      <c r="AA206">
        <v>6</v>
      </c>
      <c r="AB206" t="s">
        <v>46</v>
      </c>
      <c r="AC206" t="s">
        <v>47</v>
      </c>
      <c r="AD206" t="s">
        <v>682</v>
      </c>
      <c r="AE206" t="s">
        <v>683</v>
      </c>
    </row>
    <row r="207" spans="1:31" x14ac:dyDescent="0.2">
      <c r="A207" t="s">
        <v>31</v>
      </c>
      <c r="B207">
        <v>2011</v>
      </c>
      <c r="C207">
        <v>32</v>
      </c>
      <c r="D207" s="1">
        <v>40660</v>
      </c>
      <c r="E207" t="s">
        <v>611</v>
      </c>
      <c r="F207" t="s">
        <v>612</v>
      </c>
      <c r="G207" t="s">
        <v>613</v>
      </c>
      <c r="H207" t="s">
        <v>77</v>
      </c>
      <c r="I207" t="s">
        <v>613</v>
      </c>
      <c r="J207" t="s">
        <v>37</v>
      </c>
      <c r="K207">
        <v>74</v>
      </c>
      <c r="L207">
        <v>10</v>
      </c>
      <c r="M207">
        <v>129</v>
      </c>
      <c r="N207">
        <v>7</v>
      </c>
      <c r="O207" t="s">
        <v>77</v>
      </c>
      <c r="P207" t="s">
        <v>38</v>
      </c>
      <c r="Q207">
        <v>55</v>
      </c>
      <c r="R207">
        <v>0</v>
      </c>
      <c r="S207" t="s">
        <v>684</v>
      </c>
      <c r="T207" t="s">
        <v>614</v>
      </c>
      <c r="U207" t="s">
        <v>312</v>
      </c>
      <c r="V207" t="s">
        <v>276</v>
      </c>
      <c r="W207" t="s">
        <v>81</v>
      </c>
      <c r="X207" t="s">
        <v>463</v>
      </c>
      <c r="Y207" t="s">
        <v>45</v>
      </c>
      <c r="Z207">
        <v>20</v>
      </c>
      <c r="AA207">
        <v>6</v>
      </c>
      <c r="AB207" t="s">
        <v>46</v>
      </c>
      <c r="AC207" t="s">
        <v>47</v>
      </c>
      <c r="AD207" t="s">
        <v>685</v>
      </c>
      <c r="AE207" t="s">
        <v>686</v>
      </c>
    </row>
    <row r="208" spans="1:31" x14ac:dyDescent="0.2">
      <c r="A208" t="s">
        <v>31</v>
      </c>
      <c r="B208">
        <v>2011</v>
      </c>
      <c r="C208">
        <v>33</v>
      </c>
      <c r="D208" s="1">
        <v>40661</v>
      </c>
      <c r="E208" t="s">
        <v>63</v>
      </c>
      <c r="F208" t="s">
        <v>64</v>
      </c>
      <c r="G208" t="s">
        <v>65</v>
      </c>
      <c r="H208" t="s">
        <v>36</v>
      </c>
      <c r="I208" t="s">
        <v>65</v>
      </c>
      <c r="J208" t="s">
        <v>37</v>
      </c>
      <c r="K208">
        <v>131</v>
      </c>
      <c r="L208">
        <v>9</v>
      </c>
      <c r="M208">
        <v>148</v>
      </c>
      <c r="N208">
        <v>7</v>
      </c>
      <c r="O208" t="s">
        <v>36</v>
      </c>
      <c r="P208" t="s">
        <v>38</v>
      </c>
      <c r="Q208">
        <v>17</v>
      </c>
      <c r="R208">
        <v>0</v>
      </c>
      <c r="S208" t="s">
        <v>449</v>
      </c>
      <c r="T208" t="s">
        <v>40</v>
      </c>
      <c r="U208" t="s">
        <v>604</v>
      </c>
      <c r="V208" t="s">
        <v>656</v>
      </c>
      <c r="W208" t="s">
        <v>316</v>
      </c>
      <c r="X208" t="s">
        <v>146</v>
      </c>
      <c r="Y208" t="s">
        <v>45</v>
      </c>
      <c r="Z208">
        <v>20</v>
      </c>
      <c r="AA208">
        <v>6</v>
      </c>
      <c r="AB208" t="s">
        <v>46</v>
      </c>
      <c r="AC208" t="s">
        <v>47</v>
      </c>
      <c r="AD208" t="s">
        <v>687</v>
      </c>
      <c r="AE208" t="s">
        <v>688</v>
      </c>
    </row>
    <row r="209" spans="1:31" x14ac:dyDescent="0.2">
      <c r="A209" t="s">
        <v>31</v>
      </c>
      <c r="B209">
        <v>2011</v>
      </c>
      <c r="C209">
        <v>34</v>
      </c>
      <c r="D209" s="1">
        <v>40662</v>
      </c>
      <c r="E209" t="s">
        <v>95</v>
      </c>
      <c r="F209" t="s">
        <v>96</v>
      </c>
      <c r="G209" t="s">
        <v>66</v>
      </c>
      <c r="H209" t="s">
        <v>87</v>
      </c>
      <c r="I209" t="s">
        <v>66</v>
      </c>
      <c r="J209" t="s">
        <v>37</v>
      </c>
      <c r="K209">
        <v>95</v>
      </c>
      <c r="L209">
        <v>3</v>
      </c>
      <c r="M209">
        <v>94</v>
      </c>
      <c r="N209">
        <v>8</v>
      </c>
      <c r="O209" t="s">
        <v>66</v>
      </c>
      <c r="P209" t="s">
        <v>38</v>
      </c>
      <c r="Q209">
        <v>0</v>
      </c>
      <c r="R209">
        <v>7</v>
      </c>
      <c r="S209" t="s">
        <v>689</v>
      </c>
      <c r="T209" t="s">
        <v>293</v>
      </c>
      <c r="U209" t="s">
        <v>41</v>
      </c>
      <c r="V209" t="s">
        <v>124</v>
      </c>
      <c r="W209" t="s">
        <v>111</v>
      </c>
      <c r="X209" t="s">
        <v>626</v>
      </c>
      <c r="Y209" t="s">
        <v>45</v>
      </c>
      <c r="Z209">
        <v>20</v>
      </c>
      <c r="AA209">
        <v>6</v>
      </c>
      <c r="AB209" t="s">
        <v>46</v>
      </c>
      <c r="AC209" t="s">
        <v>47</v>
      </c>
      <c r="AD209" t="s">
        <v>674</v>
      </c>
      <c r="AE209" t="s">
        <v>690</v>
      </c>
    </row>
    <row r="210" spans="1:31" x14ac:dyDescent="0.2">
      <c r="A210" t="s">
        <v>31</v>
      </c>
      <c r="B210">
        <v>2011</v>
      </c>
      <c r="C210">
        <v>35</v>
      </c>
      <c r="D210" s="1">
        <v>40662</v>
      </c>
      <c r="E210" t="s">
        <v>33</v>
      </c>
      <c r="F210" t="s">
        <v>34</v>
      </c>
      <c r="G210" t="s">
        <v>35</v>
      </c>
      <c r="H210" t="s">
        <v>619</v>
      </c>
      <c r="I210" t="s">
        <v>619</v>
      </c>
      <c r="J210" t="s">
        <v>37</v>
      </c>
      <c r="K210">
        <v>181</v>
      </c>
      <c r="L210">
        <v>5</v>
      </c>
      <c r="M210">
        <v>155</v>
      </c>
      <c r="N210">
        <v>5</v>
      </c>
      <c r="O210" t="s">
        <v>35</v>
      </c>
      <c r="P210" t="s">
        <v>38</v>
      </c>
      <c r="Q210">
        <v>26</v>
      </c>
      <c r="R210">
        <v>0</v>
      </c>
      <c r="S210" t="s">
        <v>678</v>
      </c>
      <c r="T210" t="s">
        <v>440</v>
      </c>
      <c r="U210" t="s">
        <v>69</v>
      </c>
      <c r="V210" t="s">
        <v>354</v>
      </c>
      <c r="W210" t="s">
        <v>59</v>
      </c>
      <c r="X210" t="s">
        <v>158</v>
      </c>
      <c r="Y210" t="s">
        <v>45</v>
      </c>
      <c r="Z210">
        <v>20</v>
      </c>
      <c r="AA210">
        <v>6</v>
      </c>
      <c r="AB210" t="s">
        <v>46</v>
      </c>
      <c r="AC210" t="s">
        <v>47</v>
      </c>
      <c r="AD210" t="s">
        <v>691</v>
      </c>
      <c r="AE210" t="s">
        <v>692</v>
      </c>
    </row>
    <row r="211" spans="1:31" x14ac:dyDescent="0.2">
      <c r="A211" t="s">
        <v>31</v>
      </c>
      <c r="B211">
        <v>2011</v>
      </c>
      <c r="C211">
        <v>36</v>
      </c>
      <c r="D211" s="1">
        <v>40663</v>
      </c>
      <c r="E211" t="s">
        <v>611</v>
      </c>
      <c r="F211" t="s">
        <v>612</v>
      </c>
      <c r="G211" t="s">
        <v>613</v>
      </c>
      <c r="H211" t="s">
        <v>65</v>
      </c>
      <c r="I211" t="s">
        <v>65</v>
      </c>
      <c r="J211" t="s">
        <v>54</v>
      </c>
      <c r="K211">
        <v>119</v>
      </c>
      <c r="L211">
        <v>10</v>
      </c>
      <c r="M211">
        <v>157</v>
      </c>
      <c r="N211">
        <v>7</v>
      </c>
      <c r="O211" t="s">
        <v>65</v>
      </c>
      <c r="P211" t="s">
        <v>38</v>
      </c>
      <c r="Q211">
        <v>38</v>
      </c>
      <c r="R211">
        <v>0</v>
      </c>
      <c r="S211" t="s">
        <v>103</v>
      </c>
      <c r="T211" t="s">
        <v>614</v>
      </c>
      <c r="U211" t="s">
        <v>312</v>
      </c>
      <c r="V211" t="s">
        <v>276</v>
      </c>
      <c r="W211" t="s">
        <v>81</v>
      </c>
      <c r="X211" t="s">
        <v>463</v>
      </c>
      <c r="Y211" t="s">
        <v>45</v>
      </c>
      <c r="Z211">
        <v>20</v>
      </c>
      <c r="AA211">
        <v>6</v>
      </c>
      <c r="AB211" t="s">
        <v>46</v>
      </c>
      <c r="AC211" t="s">
        <v>47</v>
      </c>
      <c r="AD211" t="s">
        <v>693</v>
      </c>
      <c r="AE211" t="s">
        <v>694</v>
      </c>
    </row>
    <row r="212" spans="1:31" x14ac:dyDescent="0.2">
      <c r="A212" t="s">
        <v>31</v>
      </c>
      <c r="B212">
        <v>2011</v>
      </c>
      <c r="C212">
        <v>37</v>
      </c>
      <c r="D212" s="1">
        <v>40663</v>
      </c>
      <c r="E212" t="s">
        <v>75</v>
      </c>
      <c r="F212" t="s">
        <v>76</v>
      </c>
      <c r="G212" t="s">
        <v>36</v>
      </c>
      <c r="H212" t="s">
        <v>52</v>
      </c>
      <c r="I212" t="s">
        <v>36</v>
      </c>
      <c r="J212" t="s">
        <v>37</v>
      </c>
      <c r="K212">
        <v>120</v>
      </c>
      <c r="L212">
        <v>2</v>
      </c>
      <c r="M212">
        <v>119</v>
      </c>
      <c r="N212">
        <v>6</v>
      </c>
      <c r="O212" t="s">
        <v>36</v>
      </c>
      <c r="P212" t="s">
        <v>38</v>
      </c>
      <c r="Q212">
        <v>0</v>
      </c>
      <c r="R212">
        <v>8</v>
      </c>
      <c r="S212" t="s">
        <v>695</v>
      </c>
      <c r="T212" t="s">
        <v>681</v>
      </c>
      <c r="U212" t="s">
        <v>43</v>
      </c>
      <c r="V212" t="s">
        <v>58</v>
      </c>
      <c r="W212" t="s">
        <v>656</v>
      </c>
      <c r="X212" t="s">
        <v>454</v>
      </c>
      <c r="Y212" t="s">
        <v>45</v>
      </c>
      <c r="Z212">
        <v>20</v>
      </c>
      <c r="AA212">
        <v>6</v>
      </c>
      <c r="AB212" t="s">
        <v>46</v>
      </c>
      <c r="AC212" t="s">
        <v>47</v>
      </c>
      <c r="AD212" t="s">
        <v>696</v>
      </c>
      <c r="AE212" t="s">
        <v>697</v>
      </c>
    </row>
    <row r="213" spans="1:31" x14ac:dyDescent="0.2">
      <c r="A213" t="s">
        <v>31</v>
      </c>
      <c r="B213">
        <v>2011</v>
      </c>
      <c r="C213">
        <v>38</v>
      </c>
      <c r="D213" s="1">
        <v>40664</v>
      </c>
      <c r="E213" t="s">
        <v>95</v>
      </c>
      <c r="F213" t="s">
        <v>96</v>
      </c>
      <c r="G213" t="s">
        <v>66</v>
      </c>
      <c r="H213" t="s">
        <v>619</v>
      </c>
      <c r="I213" t="s">
        <v>66</v>
      </c>
      <c r="J213" t="s">
        <v>37</v>
      </c>
      <c r="K213">
        <v>144</v>
      </c>
      <c r="L213">
        <v>4</v>
      </c>
      <c r="M213">
        <v>143</v>
      </c>
      <c r="N213">
        <v>7</v>
      </c>
      <c r="O213" t="s">
        <v>66</v>
      </c>
      <c r="P213" t="s">
        <v>38</v>
      </c>
      <c r="Q213">
        <v>0</v>
      </c>
      <c r="R213">
        <v>6</v>
      </c>
      <c r="S213" t="s">
        <v>391</v>
      </c>
      <c r="T213" t="s">
        <v>293</v>
      </c>
      <c r="U213" t="s">
        <v>124</v>
      </c>
      <c r="V213" t="s">
        <v>286</v>
      </c>
      <c r="W213" t="s">
        <v>111</v>
      </c>
      <c r="X213" t="s">
        <v>626</v>
      </c>
      <c r="Y213" t="s">
        <v>45</v>
      </c>
      <c r="Z213">
        <v>20</v>
      </c>
      <c r="AA213">
        <v>6</v>
      </c>
      <c r="AB213" t="s">
        <v>46</v>
      </c>
      <c r="AC213" t="s">
        <v>47</v>
      </c>
      <c r="AD213" t="s">
        <v>698</v>
      </c>
      <c r="AE213" t="s">
        <v>699</v>
      </c>
    </row>
    <row r="214" spans="1:31" x14ac:dyDescent="0.2">
      <c r="A214" t="s">
        <v>31</v>
      </c>
      <c r="B214">
        <v>2011</v>
      </c>
      <c r="C214">
        <v>39</v>
      </c>
      <c r="D214" s="1">
        <v>40664</v>
      </c>
      <c r="E214" t="s">
        <v>108</v>
      </c>
      <c r="F214" t="s">
        <v>109</v>
      </c>
      <c r="G214" t="s">
        <v>53</v>
      </c>
      <c r="H214" t="s">
        <v>77</v>
      </c>
      <c r="I214" t="s">
        <v>53</v>
      </c>
      <c r="J214" t="s">
        <v>54</v>
      </c>
      <c r="K214">
        <v>165</v>
      </c>
      <c r="L214">
        <v>5</v>
      </c>
      <c r="M214">
        <v>146</v>
      </c>
      <c r="N214">
        <v>8</v>
      </c>
      <c r="O214" t="s">
        <v>53</v>
      </c>
      <c r="P214" t="s">
        <v>38</v>
      </c>
      <c r="Q214">
        <v>19</v>
      </c>
      <c r="R214">
        <v>0</v>
      </c>
      <c r="S214" t="s">
        <v>234</v>
      </c>
      <c r="T214" t="s">
        <v>440</v>
      </c>
      <c r="U214" t="s">
        <v>69</v>
      </c>
      <c r="V214" t="s">
        <v>59</v>
      </c>
      <c r="W214" t="s">
        <v>354</v>
      </c>
      <c r="X214" t="s">
        <v>605</v>
      </c>
      <c r="Y214" t="s">
        <v>45</v>
      </c>
      <c r="Z214">
        <v>20</v>
      </c>
      <c r="AA214">
        <v>6</v>
      </c>
      <c r="AB214" t="s">
        <v>46</v>
      </c>
      <c r="AC214" t="s">
        <v>47</v>
      </c>
      <c r="AD214" t="s">
        <v>676</v>
      </c>
      <c r="AE214" t="s">
        <v>700</v>
      </c>
    </row>
    <row r="215" spans="1:31" x14ac:dyDescent="0.2">
      <c r="A215" t="s">
        <v>31</v>
      </c>
      <c r="B215">
        <v>2011</v>
      </c>
      <c r="C215">
        <v>40</v>
      </c>
      <c r="D215" s="1">
        <v>40665</v>
      </c>
      <c r="E215" t="s">
        <v>85</v>
      </c>
      <c r="F215" t="s">
        <v>86</v>
      </c>
      <c r="G215" t="s">
        <v>87</v>
      </c>
      <c r="H215" t="s">
        <v>52</v>
      </c>
      <c r="I215" t="s">
        <v>52</v>
      </c>
      <c r="J215" t="s">
        <v>37</v>
      </c>
      <c r="K215">
        <v>159</v>
      </c>
      <c r="L215">
        <v>5</v>
      </c>
      <c r="M215">
        <v>136</v>
      </c>
      <c r="N215">
        <v>8</v>
      </c>
      <c r="O215" t="s">
        <v>87</v>
      </c>
      <c r="P215" t="s">
        <v>38</v>
      </c>
      <c r="Q215">
        <v>23</v>
      </c>
      <c r="R215">
        <v>0</v>
      </c>
      <c r="S215" t="s">
        <v>568</v>
      </c>
      <c r="T215" t="s">
        <v>614</v>
      </c>
      <c r="U215" t="s">
        <v>312</v>
      </c>
      <c r="V215" t="s">
        <v>604</v>
      </c>
      <c r="W215" t="s">
        <v>81</v>
      </c>
      <c r="X215" t="s">
        <v>642</v>
      </c>
      <c r="Y215" t="s">
        <v>45</v>
      </c>
      <c r="Z215">
        <v>20</v>
      </c>
      <c r="AA215">
        <v>6</v>
      </c>
      <c r="AB215" t="s">
        <v>46</v>
      </c>
      <c r="AC215" t="s">
        <v>47</v>
      </c>
      <c r="AD215" t="s">
        <v>701</v>
      </c>
      <c r="AE215" t="s">
        <v>702</v>
      </c>
    </row>
    <row r="216" spans="1:31" x14ac:dyDescent="0.2">
      <c r="A216" t="s">
        <v>31</v>
      </c>
      <c r="B216">
        <v>2011</v>
      </c>
      <c r="C216">
        <v>41</v>
      </c>
      <c r="D216" s="1">
        <v>40665</v>
      </c>
      <c r="E216" t="s">
        <v>63</v>
      </c>
      <c r="F216" t="s">
        <v>64</v>
      </c>
      <c r="G216" t="s">
        <v>65</v>
      </c>
      <c r="H216" t="s">
        <v>613</v>
      </c>
      <c r="I216" t="s">
        <v>613</v>
      </c>
      <c r="J216" t="s">
        <v>37</v>
      </c>
      <c r="K216">
        <v>140</v>
      </c>
      <c r="L216">
        <v>6</v>
      </c>
      <c r="M216">
        <v>141</v>
      </c>
      <c r="N216">
        <v>3</v>
      </c>
      <c r="O216" t="s">
        <v>613</v>
      </c>
      <c r="P216" t="s">
        <v>38</v>
      </c>
      <c r="Q216">
        <v>0</v>
      </c>
      <c r="R216">
        <v>7</v>
      </c>
      <c r="S216" t="s">
        <v>703</v>
      </c>
      <c r="T216" t="s">
        <v>681</v>
      </c>
      <c r="U216" t="s">
        <v>41</v>
      </c>
      <c r="V216" t="s">
        <v>58</v>
      </c>
      <c r="W216" t="s">
        <v>43</v>
      </c>
      <c r="X216" t="s">
        <v>146</v>
      </c>
      <c r="Y216" t="s">
        <v>45</v>
      </c>
      <c r="Z216">
        <v>20</v>
      </c>
      <c r="AA216">
        <v>6</v>
      </c>
      <c r="AB216" t="s">
        <v>46</v>
      </c>
      <c r="AC216" t="s">
        <v>47</v>
      </c>
      <c r="AD216" t="s">
        <v>704</v>
      </c>
      <c r="AE216" t="s">
        <v>705</v>
      </c>
    </row>
    <row r="217" spans="1:31" x14ac:dyDescent="0.2">
      <c r="A217" t="s">
        <v>31</v>
      </c>
      <c r="B217">
        <v>2011</v>
      </c>
      <c r="C217">
        <v>42</v>
      </c>
      <c r="D217" s="1">
        <v>40666</v>
      </c>
      <c r="E217" t="s">
        <v>101</v>
      </c>
      <c r="F217" t="s">
        <v>102</v>
      </c>
      <c r="G217" t="s">
        <v>77</v>
      </c>
      <c r="H217" t="s">
        <v>36</v>
      </c>
      <c r="I217" t="s">
        <v>77</v>
      </c>
      <c r="J217" t="s">
        <v>37</v>
      </c>
      <c r="K217">
        <v>149</v>
      </c>
      <c r="L217">
        <v>6</v>
      </c>
      <c r="M217">
        <v>169</v>
      </c>
      <c r="N217">
        <v>4</v>
      </c>
      <c r="O217" t="s">
        <v>36</v>
      </c>
      <c r="P217" t="s">
        <v>38</v>
      </c>
      <c r="Q217">
        <v>20</v>
      </c>
      <c r="R217">
        <v>0</v>
      </c>
      <c r="S217" t="s">
        <v>114</v>
      </c>
      <c r="T217" t="s">
        <v>40</v>
      </c>
      <c r="U217" t="s">
        <v>316</v>
      </c>
      <c r="V217" t="s">
        <v>656</v>
      </c>
      <c r="W217" t="s">
        <v>604</v>
      </c>
      <c r="X217" t="s">
        <v>105</v>
      </c>
      <c r="Y217" t="s">
        <v>45</v>
      </c>
      <c r="Z217">
        <v>20</v>
      </c>
      <c r="AA217">
        <v>6</v>
      </c>
      <c r="AB217" t="s">
        <v>46</v>
      </c>
      <c r="AC217" t="s">
        <v>47</v>
      </c>
      <c r="AD217" t="s">
        <v>706</v>
      </c>
      <c r="AE217" t="s">
        <v>707</v>
      </c>
    </row>
    <row r="218" spans="1:31" x14ac:dyDescent="0.2">
      <c r="A218" t="s">
        <v>31</v>
      </c>
      <c r="B218">
        <v>2011</v>
      </c>
      <c r="C218">
        <v>43</v>
      </c>
      <c r="D218" s="1">
        <v>40667</v>
      </c>
      <c r="E218" t="s">
        <v>108</v>
      </c>
      <c r="F218" t="s">
        <v>109</v>
      </c>
      <c r="G218" t="s">
        <v>53</v>
      </c>
      <c r="H218" t="s">
        <v>66</v>
      </c>
      <c r="I218" t="s">
        <v>66</v>
      </c>
      <c r="J218" t="s">
        <v>54</v>
      </c>
      <c r="K218">
        <v>149</v>
      </c>
      <c r="L218">
        <v>2</v>
      </c>
      <c r="M218">
        <v>147</v>
      </c>
      <c r="N218">
        <v>6</v>
      </c>
      <c r="O218" t="s">
        <v>53</v>
      </c>
      <c r="P218" t="s">
        <v>38</v>
      </c>
      <c r="Q218">
        <v>0</v>
      </c>
      <c r="R218">
        <v>8</v>
      </c>
      <c r="S218" t="s">
        <v>55</v>
      </c>
      <c r="T218" t="s">
        <v>440</v>
      </c>
      <c r="U218" t="s">
        <v>354</v>
      </c>
      <c r="V218" t="s">
        <v>59</v>
      </c>
      <c r="W218" t="s">
        <v>69</v>
      </c>
      <c r="X218" t="s">
        <v>605</v>
      </c>
      <c r="Y218" t="s">
        <v>45</v>
      </c>
      <c r="Z218">
        <v>20</v>
      </c>
      <c r="AA218">
        <v>6</v>
      </c>
      <c r="AB218" t="s">
        <v>46</v>
      </c>
      <c r="AC218" t="s">
        <v>47</v>
      </c>
      <c r="AD218" t="s">
        <v>708</v>
      </c>
      <c r="AE218" t="s">
        <v>709</v>
      </c>
    </row>
    <row r="219" spans="1:31" x14ac:dyDescent="0.2">
      <c r="A219" t="s">
        <v>31</v>
      </c>
      <c r="B219">
        <v>2011</v>
      </c>
      <c r="C219">
        <v>44</v>
      </c>
      <c r="D219" s="1">
        <v>40667</v>
      </c>
      <c r="E219" t="s">
        <v>85</v>
      </c>
      <c r="F219" t="s">
        <v>131</v>
      </c>
      <c r="G219" t="s">
        <v>619</v>
      </c>
      <c r="H219" t="s">
        <v>87</v>
      </c>
      <c r="I219" t="s">
        <v>619</v>
      </c>
      <c r="J219" t="s">
        <v>37</v>
      </c>
      <c r="K219">
        <v>139</v>
      </c>
      <c r="L219">
        <v>7</v>
      </c>
      <c r="M219">
        <v>160</v>
      </c>
      <c r="N219">
        <v>7</v>
      </c>
      <c r="O219" t="s">
        <v>87</v>
      </c>
      <c r="P219" t="s">
        <v>38</v>
      </c>
      <c r="Q219">
        <v>21</v>
      </c>
      <c r="R219">
        <v>0</v>
      </c>
      <c r="S219" t="s">
        <v>710</v>
      </c>
      <c r="T219" t="s">
        <v>614</v>
      </c>
      <c r="U219" t="s">
        <v>312</v>
      </c>
      <c r="V219" t="s">
        <v>286</v>
      </c>
      <c r="W219" t="s">
        <v>81</v>
      </c>
      <c r="X219" t="s">
        <v>621</v>
      </c>
      <c r="Y219" t="s">
        <v>45</v>
      </c>
      <c r="Z219">
        <v>20</v>
      </c>
      <c r="AA219">
        <v>6</v>
      </c>
      <c r="AB219" t="s">
        <v>46</v>
      </c>
      <c r="AC219" t="s">
        <v>47</v>
      </c>
      <c r="AD219" t="s">
        <v>711</v>
      </c>
      <c r="AE219" t="s">
        <v>712</v>
      </c>
    </row>
    <row r="220" spans="1:31" x14ac:dyDescent="0.2">
      <c r="A220" t="s">
        <v>31</v>
      </c>
      <c r="B220">
        <v>2011</v>
      </c>
      <c r="C220">
        <v>45</v>
      </c>
      <c r="D220" s="1">
        <v>40668</v>
      </c>
      <c r="E220" t="s">
        <v>611</v>
      </c>
      <c r="F220" t="s">
        <v>612</v>
      </c>
      <c r="G220" t="s">
        <v>613</v>
      </c>
      <c r="H220" t="s">
        <v>36</v>
      </c>
      <c r="I220" t="s">
        <v>36</v>
      </c>
      <c r="J220" t="s">
        <v>37</v>
      </c>
      <c r="K220">
        <v>156</v>
      </c>
      <c r="L220">
        <v>5</v>
      </c>
      <c r="M220">
        <v>139</v>
      </c>
      <c r="N220">
        <v>7</v>
      </c>
      <c r="O220" t="s">
        <v>613</v>
      </c>
      <c r="P220" t="s">
        <v>38</v>
      </c>
      <c r="Q220">
        <v>17</v>
      </c>
      <c r="R220">
        <v>0</v>
      </c>
      <c r="S220" t="s">
        <v>418</v>
      </c>
      <c r="T220" t="s">
        <v>293</v>
      </c>
      <c r="U220" t="s">
        <v>111</v>
      </c>
      <c r="V220" t="s">
        <v>656</v>
      </c>
      <c r="W220" t="s">
        <v>124</v>
      </c>
      <c r="X220" t="s">
        <v>463</v>
      </c>
      <c r="Y220" t="s">
        <v>45</v>
      </c>
      <c r="Z220">
        <v>20</v>
      </c>
      <c r="AA220">
        <v>6</v>
      </c>
      <c r="AB220" t="s">
        <v>46</v>
      </c>
      <c r="AC220" t="s">
        <v>47</v>
      </c>
      <c r="AD220" t="s">
        <v>713</v>
      </c>
      <c r="AE220" t="s">
        <v>714</v>
      </c>
    </row>
    <row r="221" spans="1:31" x14ac:dyDescent="0.2">
      <c r="A221" t="s">
        <v>31</v>
      </c>
      <c r="B221">
        <v>2011</v>
      </c>
      <c r="C221">
        <v>46</v>
      </c>
      <c r="D221" s="1">
        <v>40668</v>
      </c>
      <c r="E221" t="s">
        <v>101</v>
      </c>
      <c r="F221" t="s">
        <v>102</v>
      </c>
      <c r="G221" t="s">
        <v>77</v>
      </c>
      <c r="H221" t="s">
        <v>65</v>
      </c>
      <c r="I221" t="s">
        <v>65</v>
      </c>
      <c r="J221" t="s">
        <v>37</v>
      </c>
      <c r="K221">
        <v>175</v>
      </c>
      <c r="L221">
        <v>5</v>
      </c>
      <c r="M221">
        <v>179</v>
      </c>
      <c r="N221">
        <v>6</v>
      </c>
      <c r="O221" t="s">
        <v>65</v>
      </c>
      <c r="P221" t="s">
        <v>38</v>
      </c>
      <c r="Q221">
        <v>0</v>
      </c>
      <c r="R221">
        <v>4</v>
      </c>
      <c r="S221" t="s">
        <v>103</v>
      </c>
      <c r="T221" t="s">
        <v>681</v>
      </c>
      <c r="U221" t="s">
        <v>41</v>
      </c>
      <c r="V221" t="s">
        <v>43</v>
      </c>
      <c r="W221" t="s">
        <v>58</v>
      </c>
      <c r="X221" t="s">
        <v>105</v>
      </c>
      <c r="Y221" t="s">
        <v>45</v>
      </c>
      <c r="Z221">
        <v>20</v>
      </c>
      <c r="AA221">
        <v>6</v>
      </c>
      <c r="AB221" t="s">
        <v>46</v>
      </c>
      <c r="AC221" t="s">
        <v>47</v>
      </c>
      <c r="AD221" t="s">
        <v>715</v>
      </c>
      <c r="AE221" t="s">
        <v>716</v>
      </c>
    </row>
    <row r="222" spans="1:31" x14ac:dyDescent="0.2">
      <c r="A222" t="s">
        <v>31</v>
      </c>
      <c r="B222">
        <v>2011</v>
      </c>
      <c r="C222">
        <v>47</v>
      </c>
      <c r="D222" s="1">
        <v>40669</v>
      </c>
      <c r="E222" t="s">
        <v>33</v>
      </c>
      <c r="F222" t="s">
        <v>34</v>
      </c>
      <c r="G222" t="s">
        <v>35</v>
      </c>
      <c r="H222" t="s">
        <v>52</v>
      </c>
      <c r="I222" t="s">
        <v>52</v>
      </c>
      <c r="J222" t="s">
        <v>37</v>
      </c>
      <c r="K222">
        <v>205</v>
      </c>
      <c r="L222">
        <v>6</v>
      </c>
      <c r="M222">
        <v>120</v>
      </c>
      <c r="N222">
        <v>9</v>
      </c>
      <c r="O222" t="s">
        <v>35</v>
      </c>
      <c r="P222" t="s">
        <v>38</v>
      </c>
      <c r="Q222">
        <v>85</v>
      </c>
      <c r="R222">
        <v>0</v>
      </c>
      <c r="S222" t="s">
        <v>292</v>
      </c>
      <c r="T222" t="s">
        <v>440</v>
      </c>
      <c r="U222" t="s">
        <v>69</v>
      </c>
      <c r="V222" t="s">
        <v>59</v>
      </c>
      <c r="W222" t="s">
        <v>354</v>
      </c>
      <c r="X222" t="s">
        <v>158</v>
      </c>
      <c r="Y222" t="s">
        <v>45</v>
      </c>
      <c r="Z222">
        <v>20</v>
      </c>
      <c r="AA222">
        <v>6</v>
      </c>
      <c r="AB222" t="s">
        <v>46</v>
      </c>
      <c r="AC222" t="s">
        <v>47</v>
      </c>
      <c r="AD222" t="s">
        <v>717</v>
      </c>
      <c r="AE222" t="s">
        <v>718</v>
      </c>
    </row>
    <row r="223" spans="1:31" x14ac:dyDescent="0.2">
      <c r="A223" t="s">
        <v>31</v>
      </c>
      <c r="B223">
        <v>2011</v>
      </c>
      <c r="C223">
        <v>48</v>
      </c>
      <c r="D223" s="1">
        <v>40670</v>
      </c>
      <c r="E223" t="s">
        <v>75</v>
      </c>
      <c r="F223" t="s">
        <v>76</v>
      </c>
      <c r="G223" t="s">
        <v>36</v>
      </c>
      <c r="H223" t="s">
        <v>53</v>
      </c>
      <c r="I223" t="s">
        <v>53</v>
      </c>
      <c r="J223" t="s">
        <v>54</v>
      </c>
      <c r="K223">
        <v>61</v>
      </c>
      <c r="L223">
        <v>2</v>
      </c>
      <c r="M223">
        <v>114</v>
      </c>
      <c r="N223">
        <v>4</v>
      </c>
      <c r="O223" t="s">
        <v>36</v>
      </c>
      <c r="P223" t="s">
        <v>38</v>
      </c>
      <c r="Q223">
        <v>10</v>
      </c>
      <c r="R223">
        <v>0</v>
      </c>
      <c r="S223" t="s">
        <v>695</v>
      </c>
      <c r="T223" t="s">
        <v>614</v>
      </c>
      <c r="U223" t="s">
        <v>41</v>
      </c>
      <c r="V223" t="s">
        <v>604</v>
      </c>
      <c r="W223" t="s">
        <v>316</v>
      </c>
      <c r="X223" t="s">
        <v>454</v>
      </c>
      <c r="Y223" t="s">
        <v>45</v>
      </c>
      <c r="Z223">
        <v>20</v>
      </c>
      <c r="AA223">
        <v>6</v>
      </c>
      <c r="AB223" t="s">
        <v>46</v>
      </c>
      <c r="AC223" t="s">
        <v>47</v>
      </c>
      <c r="AD223" t="s">
        <v>719</v>
      </c>
      <c r="AE223" t="s">
        <v>720</v>
      </c>
    </row>
    <row r="224" spans="1:31" x14ac:dyDescent="0.2">
      <c r="A224" t="s">
        <v>31</v>
      </c>
      <c r="B224">
        <v>2011</v>
      </c>
      <c r="C224">
        <v>49</v>
      </c>
      <c r="D224" s="1">
        <v>40670</v>
      </c>
      <c r="E224" t="s">
        <v>85</v>
      </c>
      <c r="F224" t="s">
        <v>86</v>
      </c>
      <c r="G224" t="s">
        <v>87</v>
      </c>
      <c r="H224" t="s">
        <v>65</v>
      </c>
      <c r="I224" t="s">
        <v>65</v>
      </c>
      <c r="J224" t="s">
        <v>37</v>
      </c>
      <c r="K224">
        <v>178</v>
      </c>
      <c r="L224">
        <v>4</v>
      </c>
      <c r="M224">
        <v>146</v>
      </c>
      <c r="N224">
        <v>10</v>
      </c>
      <c r="O224" t="s">
        <v>87</v>
      </c>
      <c r="P224" t="s">
        <v>38</v>
      </c>
      <c r="Q224">
        <v>32</v>
      </c>
      <c r="R224">
        <v>0</v>
      </c>
      <c r="S224" t="s">
        <v>530</v>
      </c>
      <c r="T224" t="s">
        <v>502</v>
      </c>
      <c r="U224" t="s">
        <v>81</v>
      </c>
      <c r="V224" t="s">
        <v>286</v>
      </c>
      <c r="W224" t="s">
        <v>312</v>
      </c>
      <c r="X224" t="s">
        <v>642</v>
      </c>
      <c r="Y224" t="s">
        <v>45</v>
      </c>
      <c r="Z224">
        <v>20</v>
      </c>
      <c r="AA224">
        <v>6</v>
      </c>
      <c r="AB224" t="s">
        <v>46</v>
      </c>
      <c r="AC224" t="s">
        <v>47</v>
      </c>
      <c r="AD224" t="s">
        <v>721</v>
      </c>
      <c r="AE224" t="s">
        <v>722</v>
      </c>
    </row>
    <row r="225" spans="1:31" x14ac:dyDescent="0.2">
      <c r="A225" t="s">
        <v>31</v>
      </c>
      <c r="B225">
        <v>2011</v>
      </c>
      <c r="C225">
        <v>50</v>
      </c>
      <c r="D225" s="1">
        <v>40671</v>
      </c>
      <c r="E225" t="s">
        <v>33</v>
      </c>
      <c r="F225" t="s">
        <v>34</v>
      </c>
      <c r="G225" t="s">
        <v>35</v>
      </c>
      <c r="H225" t="s">
        <v>613</v>
      </c>
      <c r="I225" t="s">
        <v>613</v>
      </c>
      <c r="J225" t="s">
        <v>54</v>
      </c>
      <c r="K225">
        <v>128</v>
      </c>
      <c r="L225">
        <v>1</v>
      </c>
      <c r="M225">
        <v>125</v>
      </c>
      <c r="N225">
        <v>9</v>
      </c>
      <c r="O225" t="s">
        <v>35</v>
      </c>
      <c r="P225" t="s">
        <v>38</v>
      </c>
      <c r="Q225">
        <v>0</v>
      </c>
      <c r="R225">
        <v>9</v>
      </c>
      <c r="S225" t="s">
        <v>292</v>
      </c>
      <c r="T225" t="s">
        <v>440</v>
      </c>
      <c r="U225" t="s">
        <v>69</v>
      </c>
      <c r="V225" t="s">
        <v>354</v>
      </c>
      <c r="W225" t="s">
        <v>59</v>
      </c>
      <c r="X225" t="s">
        <v>158</v>
      </c>
      <c r="Y225" t="s">
        <v>45</v>
      </c>
      <c r="Z225">
        <v>20</v>
      </c>
      <c r="AA225">
        <v>6</v>
      </c>
      <c r="AB225" t="s">
        <v>46</v>
      </c>
      <c r="AC225" t="s">
        <v>47</v>
      </c>
      <c r="AD225" t="s">
        <v>723</v>
      </c>
      <c r="AE225" t="s">
        <v>724</v>
      </c>
    </row>
    <row r="226" spans="1:31" x14ac:dyDescent="0.2">
      <c r="A226" t="s">
        <v>31</v>
      </c>
      <c r="B226">
        <v>2011</v>
      </c>
      <c r="C226">
        <v>51</v>
      </c>
      <c r="D226" s="1">
        <v>40671</v>
      </c>
      <c r="E226" t="s">
        <v>50</v>
      </c>
      <c r="F226" t="s">
        <v>51</v>
      </c>
      <c r="G226" t="s">
        <v>52</v>
      </c>
      <c r="H226" t="s">
        <v>619</v>
      </c>
      <c r="I226" t="s">
        <v>52</v>
      </c>
      <c r="J226" t="s">
        <v>54</v>
      </c>
      <c r="K226">
        <v>119</v>
      </c>
      <c r="L226">
        <v>8</v>
      </c>
      <c r="M226">
        <v>120</v>
      </c>
      <c r="N226">
        <v>5</v>
      </c>
      <c r="O226" t="s">
        <v>619</v>
      </c>
      <c r="P226" t="s">
        <v>38</v>
      </c>
      <c r="Q226">
        <v>0</v>
      </c>
      <c r="R226">
        <v>5</v>
      </c>
      <c r="S226" t="s">
        <v>710</v>
      </c>
      <c r="T226" t="s">
        <v>293</v>
      </c>
      <c r="U226" t="s">
        <v>124</v>
      </c>
      <c r="V226" t="s">
        <v>656</v>
      </c>
      <c r="W226" t="s">
        <v>111</v>
      </c>
      <c r="X226" t="s">
        <v>631</v>
      </c>
      <c r="Y226" t="s">
        <v>45</v>
      </c>
      <c r="Z226">
        <v>20</v>
      </c>
      <c r="AA226">
        <v>6</v>
      </c>
      <c r="AB226" t="s">
        <v>46</v>
      </c>
      <c r="AC226" t="s">
        <v>47</v>
      </c>
      <c r="AD226" t="s">
        <v>725</v>
      </c>
      <c r="AE226" t="s">
        <v>726</v>
      </c>
    </row>
    <row r="227" spans="1:31" x14ac:dyDescent="0.2">
      <c r="A227" t="s">
        <v>31</v>
      </c>
      <c r="B227">
        <v>2011</v>
      </c>
      <c r="C227">
        <v>52</v>
      </c>
      <c r="D227" s="1">
        <v>40672</v>
      </c>
      <c r="E227" t="s">
        <v>95</v>
      </c>
      <c r="F227" t="s">
        <v>96</v>
      </c>
      <c r="G227" t="s">
        <v>66</v>
      </c>
      <c r="H227" t="s">
        <v>53</v>
      </c>
      <c r="I227" t="s">
        <v>66</v>
      </c>
      <c r="J227" t="s">
        <v>37</v>
      </c>
      <c r="K227">
        <v>133</v>
      </c>
      <c r="L227">
        <v>10</v>
      </c>
      <c r="M227">
        <v>196</v>
      </c>
      <c r="N227">
        <v>3</v>
      </c>
      <c r="O227" t="s">
        <v>53</v>
      </c>
      <c r="P227" t="s">
        <v>38</v>
      </c>
      <c r="Q227">
        <v>63</v>
      </c>
      <c r="R227">
        <v>0</v>
      </c>
      <c r="S227" t="s">
        <v>518</v>
      </c>
      <c r="T227" t="s">
        <v>502</v>
      </c>
      <c r="U227" t="s">
        <v>81</v>
      </c>
      <c r="V227" t="s">
        <v>286</v>
      </c>
      <c r="W227" t="s">
        <v>312</v>
      </c>
      <c r="X227" t="s">
        <v>626</v>
      </c>
      <c r="Y227" t="s">
        <v>45</v>
      </c>
      <c r="Z227">
        <v>20</v>
      </c>
      <c r="AA227">
        <v>6</v>
      </c>
      <c r="AB227" t="s">
        <v>46</v>
      </c>
      <c r="AC227" t="s">
        <v>47</v>
      </c>
      <c r="AD227" t="s">
        <v>727</v>
      </c>
      <c r="AE227" t="s">
        <v>728</v>
      </c>
    </row>
    <row r="228" spans="1:31" x14ac:dyDescent="0.2">
      <c r="A228" t="s">
        <v>31</v>
      </c>
      <c r="B228">
        <v>2011</v>
      </c>
      <c r="C228">
        <v>53</v>
      </c>
      <c r="D228" s="1">
        <v>40673</v>
      </c>
      <c r="E228" t="s">
        <v>101</v>
      </c>
      <c r="F228" t="s">
        <v>102</v>
      </c>
      <c r="G228" t="s">
        <v>77</v>
      </c>
      <c r="H228" t="s">
        <v>619</v>
      </c>
      <c r="I228" t="s">
        <v>77</v>
      </c>
      <c r="J228" t="s">
        <v>54</v>
      </c>
      <c r="K228">
        <v>136</v>
      </c>
      <c r="L228">
        <v>8</v>
      </c>
      <c r="M228">
        <v>137</v>
      </c>
      <c r="N228">
        <v>4</v>
      </c>
      <c r="O228" t="s">
        <v>619</v>
      </c>
      <c r="P228" t="s">
        <v>38</v>
      </c>
      <c r="Q228">
        <v>0</v>
      </c>
      <c r="R228">
        <v>6</v>
      </c>
      <c r="S228" t="s">
        <v>729</v>
      </c>
      <c r="T228" t="s">
        <v>681</v>
      </c>
      <c r="U228" t="s">
        <v>41</v>
      </c>
      <c r="V228" t="s">
        <v>43</v>
      </c>
      <c r="W228" t="s">
        <v>58</v>
      </c>
      <c r="X228" t="s">
        <v>105</v>
      </c>
      <c r="Y228" t="s">
        <v>45</v>
      </c>
      <c r="Z228">
        <v>20</v>
      </c>
      <c r="AA228">
        <v>6</v>
      </c>
      <c r="AB228" t="s">
        <v>46</v>
      </c>
      <c r="AC228" t="s">
        <v>47</v>
      </c>
      <c r="AD228" t="s">
        <v>730</v>
      </c>
      <c r="AE228" t="s">
        <v>731</v>
      </c>
    </row>
    <row r="229" spans="1:31" x14ac:dyDescent="0.2">
      <c r="A229" t="s">
        <v>31</v>
      </c>
      <c r="B229">
        <v>2011</v>
      </c>
      <c r="C229">
        <v>54</v>
      </c>
      <c r="D229" s="1">
        <v>40673</v>
      </c>
      <c r="E229" t="s">
        <v>50</v>
      </c>
      <c r="F229" t="s">
        <v>51</v>
      </c>
      <c r="G229" t="s">
        <v>52</v>
      </c>
      <c r="H229" t="s">
        <v>87</v>
      </c>
      <c r="I229" t="s">
        <v>87</v>
      </c>
      <c r="J229" t="s">
        <v>37</v>
      </c>
      <c r="K229">
        <v>163</v>
      </c>
      <c r="L229">
        <v>8</v>
      </c>
      <c r="M229">
        <v>87</v>
      </c>
      <c r="N229">
        <v>10</v>
      </c>
      <c r="O229" t="s">
        <v>52</v>
      </c>
      <c r="P229" t="s">
        <v>38</v>
      </c>
      <c r="Q229">
        <v>76</v>
      </c>
      <c r="R229">
        <v>0</v>
      </c>
      <c r="S229" t="s">
        <v>732</v>
      </c>
      <c r="T229" t="s">
        <v>293</v>
      </c>
      <c r="U229" t="s">
        <v>124</v>
      </c>
      <c r="V229" t="s">
        <v>656</v>
      </c>
      <c r="W229" t="s">
        <v>72</v>
      </c>
      <c r="X229" t="s">
        <v>631</v>
      </c>
      <c r="Y229" t="s">
        <v>45</v>
      </c>
      <c r="Z229">
        <v>20</v>
      </c>
      <c r="AA229">
        <v>6</v>
      </c>
      <c r="AB229" t="s">
        <v>46</v>
      </c>
      <c r="AC229" t="s">
        <v>47</v>
      </c>
      <c r="AD229" t="s">
        <v>733</v>
      </c>
      <c r="AE229" t="s">
        <v>734</v>
      </c>
    </row>
    <row r="230" spans="1:31" x14ac:dyDescent="0.2">
      <c r="A230" t="s">
        <v>31</v>
      </c>
      <c r="B230">
        <v>2011</v>
      </c>
      <c r="C230">
        <v>55</v>
      </c>
      <c r="D230" s="1">
        <v>40674</v>
      </c>
      <c r="E230" t="s">
        <v>95</v>
      </c>
      <c r="F230" t="s">
        <v>96</v>
      </c>
      <c r="G230" t="s">
        <v>66</v>
      </c>
      <c r="H230" t="s">
        <v>35</v>
      </c>
      <c r="I230" t="s">
        <v>35</v>
      </c>
      <c r="J230" t="s">
        <v>37</v>
      </c>
      <c r="K230">
        <v>146</v>
      </c>
      <c r="L230">
        <v>6</v>
      </c>
      <c r="M230">
        <v>151</v>
      </c>
      <c r="N230">
        <v>1</v>
      </c>
      <c r="O230" t="s">
        <v>35</v>
      </c>
      <c r="P230" t="s">
        <v>38</v>
      </c>
      <c r="Q230">
        <v>0</v>
      </c>
      <c r="R230">
        <v>9</v>
      </c>
      <c r="S230" t="s">
        <v>735</v>
      </c>
      <c r="T230" t="s">
        <v>502</v>
      </c>
      <c r="U230" t="s">
        <v>312</v>
      </c>
      <c r="V230" t="s">
        <v>81</v>
      </c>
      <c r="W230" t="s">
        <v>286</v>
      </c>
      <c r="X230" t="s">
        <v>626</v>
      </c>
      <c r="Y230" t="s">
        <v>45</v>
      </c>
      <c r="Z230">
        <v>20</v>
      </c>
      <c r="AA230">
        <v>6</v>
      </c>
      <c r="AB230" t="s">
        <v>46</v>
      </c>
      <c r="AC230" t="s">
        <v>47</v>
      </c>
      <c r="AD230" t="s">
        <v>736</v>
      </c>
      <c r="AE230" t="s">
        <v>737</v>
      </c>
    </row>
    <row r="231" spans="1:31" x14ac:dyDescent="0.2">
      <c r="A231" t="s">
        <v>31</v>
      </c>
      <c r="B231">
        <v>2011</v>
      </c>
      <c r="C231">
        <v>56</v>
      </c>
      <c r="D231" s="1">
        <v>40675</v>
      </c>
      <c r="E231" t="s">
        <v>108</v>
      </c>
      <c r="F231" t="s">
        <v>109</v>
      </c>
      <c r="G231" t="s">
        <v>53</v>
      </c>
      <c r="H231" t="s">
        <v>65</v>
      </c>
      <c r="I231" t="s">
        <v>53</v>
      </c>
      <c r="J231" t="s">
        <v>54</v>
      </c>
      <c r="K231">
        <v>176</v>
      </c>
      <c r="L231">
        <v>4</v>
      </c>
      <c r="M231">
        <v>158</v>
      </c>
      <c r="N231">
        <v>6</v>
      </c>
      <c r="O231" t="s">
        <v>53</v>
      </c>
      <c r="P231" t="s">
        <v>38</v>
      </c>
      <c r="Q231">
        <v>18</v>
      </c>
      <c r="R231">
        <v>0</v>
      </c>
      <c r="S231" t="s">
        <v>136</v>
      </c>
      <c r="T231" t="s">
        <v>681</v>
      </c>
      <c r="U231" t="s">
        <v>43</v>
      </c>
      <c r="V231" t="s">
        <v>58</v>
      </c>
      <c r="W231" t="s">
        <v>41</v>
      </c>
      <c r="X231" t="s">
        <v>605</v>
      </c>
      <c r="Y231" t="s">
        <v>45</v>
      </c>
      <c r="Z231">
        <v>20</v>
      </c>
      <c r="AA231">
        <v>6</v>
      </c>
      <c r="AB231" t="s">
        <v>46</v>
      </c>
      <c r="AC231" t="s">
        <v>47</v>
      </c>
      <c r="AD231" t="s">
        <v>738</v>
      </c>
      <c r="AE231" t="s">
        <v>739</v>
      </c>
    </row>
    <row r="232" spans="1:31" x14ac:dyDescent="0.2">
      <c r="A232" t="s">
        <v>31</v>
      </c>
      <c r="B232">
        <v>2011</v>
      </c>
      <c r="C232">
        <v>57</v>
      </c>
      <c r="D232" s="1">
        <v>40676</v>
      </c>
      <c r="E232" t="s">
        <v>740</v>
      </c>
      <c r="F232" t="s">
        <v>741</v>
      </c>
      <c r="G232" t="s">
        <v>613</v>
      </c>
      <c r="H232" t="s">
        <v>52</v>
      </c>
      <c r="I232" t="s">
        <v>52</v>
      </c>
      <c r="J232" t="s">
        <v>37</v>
      </c>
      <c r="K232">
        <v>178</v>
      </c>
      <c r="L232">
        <v>7</v>
      </c>
      <c r="M232">
        <v>181</v>
      </c>
      <c r="N232">
        <v>4</v>
      </c>
      <c r="O232" t="s">
        <v>52</v>
      </c>
      <c r="P232" t="s">
        <v>38</v>
      </c>
      <c r="Q232">
        <v>0</v>
      </c>
      <c r="R232">
        <v>6</v>
      </c>
      <c r="S232" t="s">
        <v>237</v>
      </c>
      <c r="T232" t="s">
        <v>614</v>
      </c>
      <c r="U232" t="s">
        <v>316</v>
      </c>
      <c r="V232" t="s">
        <v>656</v>
      </c>
      <c r="W232" t="s">
        <v>604</v>
      </c>
      <c r="X232" t="s">
        <v>621</v>
      </c>
      <c r="Y232" t="s">
        <v>45</v>
      </c>
      <c r="Z232">
        <v>20</v>
      </c>
      <c r="AA232">
        <v>6</v>
      </c>
      <c r="AB232" t="s">
        <v>46</v>
      </c>
      <c r="AC232" t="s">
        <v>47</v>
      </c>
      <c r="AD232" t="s">
        <v>742</v>
      </c>
      <c r="AE232" t="s">
        <v>743</v>
      </c>
    </row>
    <row r="233" spans="1:31" x14ac:dyDescent="0.2">
      <c r="A233" t="s">
        <v>31</v>
      </c>
      <c r="B233">
        <v>2011</v>
      </c>
      <c r="C233">
        <v>58</v>
      </c>
      <c r="D233" s="1">
        <v>40677</v>
      </c>
      <c r="E233" t="s">
        <v>33</v>
      </c>
      <c r="F233" t="s">
        <v>34</v>
      </c>
      <c r="G233" t="s">
        <v>35</v>
      </c>
      <c r="H233" t="s">
        <v>36</v>
      </c>
      <c r="I233" t="s">
        <v>35</v>
      </c>
      <c r="J233" t="s">
        <v>37</v>
      </c>
      <c r="K233">
        <v>105</v>
      </c>
      <c r="L233">
        <v>6</v>
      </c>
      <c r="M233">
        <v>89</v>
      </c>
      <c r="N233">
        <v>4</v>
      </c>
      <c r="O233" t="s">
        <v>35</v>
      </c>
      <c r="P233" t="s">
        <v>38</v>
      </c>
      <c r="Q233">
        <v>0</v>
      </c>
      <c r="R233">
        <v>4</v>
      </c>
      <c r="S233" t="s">
        <v>292</v>
      </c>
      <c r="T233" t="s">
        <v>440</v>
      </c>
      <c r="U233" t="s">
        <v>42</v>
      </c>
      <c r="V233" t="s">
        <v>59</v>
      </c>
      <c r="W233" t="s">
        <v>354</v>
      </c>
      <c r="X233" t="s">
        <v>158</v>
      </c>
      <c r="Y233" t="s">
        <v>45</v>
      </c>
      <c r="Z233">
        <v>20</v>
      </c>
      <c r="AA233">
        <v>6</v>
      </c>
      <c r="AB233" t="s">
        <v>46</v>
      </c>
      <c r="AC233" t="s">
        <v>47</v>
      </c>
      <c r="AD233" t="s">
        <v>744</v>
      </c>
      <c r="AE233" t="s">
        <v>745</v>
      </c>
    </row>
    <row r="234" spans="1:31" x14ac:dyDescent="0.2">
      <c r="A234" t="s">
        <v>31</v>
      </c>
      <c r="B234">
        <v>2011</v>
      </c>
      <c r="C234">
        <v>59</v>
      </c>
      <c r="D234" s="1">
        <v>40677</v>
      </c>
      <c r="E234" t="s">
        <v>85</v>
      </c>
      <c r="F234" t="s">
        <v>86</v>
      </c>
      <c r="G234" t="s">
        <v>87</v>
      </c>
      <c r="H234" t="s">
        <v>77</v>
      </c>
      <c r="I234" t="s">
        <v>77</v>
      </c>
      <c r="J234" t="s">
        <v>54</v>
      </c>
      <c r="K234">
        <v>125</v>
      </c>
      <c r="L234">
        <v>8</v>
      </c>
      <c r="M234">
        <v>135</v>
      </c>
      <c r="N234">
        <v>6</v>
      </c>
      <c r="O234" t="s">
        <v>77</v>
      </c>
      <c r="P234" t="s">
        <v>38</v>
      </c>
      <c r="Q234">
        <v>10</v>
      </c>
      <c r="R234">
        <v>0</v>
      </c>
      <c r="S234" t="s">
        <v>204</v>
      </c>
      <c r="T234" t="s">
        <v>293</v>
      </c>
      <c r="U234" t="s">
        <v>111</v>
      </c>
      <c r="V234" t="s">
        <v>124</v>
      </c>
      <c r="W234" t="s">
        <v>286</v>
      </c>
      <c r="X234" t="s">
        <v>642</v>
      </c>
      <c r="Y234" t="s">
        <v>45</v>
      </c>
      <c r="Z234">
        <v>20</v>
      </c>
      <c r="AA234">
        <v>6</v>
      </c>
      <c r="AB234" t="s">
        <v>46</v>
      </c>
      <c r="AC234" t="s">
        <v>47</v>
      </c>
      <c r="AD234" t="s">
        <v>746</v>
      </c>
      <c r="AE234" t="s">
        <v>747</v>
      </c>
    </row>
    <row r="235" spans="1:31" x14ac:dyDescent="0.2">
      <c r="A235" t="s">
        <v>31</v>
      </c>
      <c r="B235">
        <v>2011</v>
      </c>
      <c r="C235">
        <v>60</v>
      </c>
      <c r="D235" s="1">
        <v>40678</v>
      </c>
      <c r="E235" t="s">
        <v>578</v>
      </c>
      <c r="F235" t="s">
        <v>579</v>
      </c>
      <c r="G235" t="s">
        <v>52</v>
      </c>
      <c r="H235" t="s">
        <v>65</v>
      </c>
      <c r="I235" t="s">
        <v>65</v>
      </c>
      <c r="J235" t="s">
        <v>37</v>
      </c>
      <c r="K235">
        <v>170</v>
      </c>
      <c r="L235">
        <v>6</v>
      </c>
      <c r="M235">
        <v>141</v>
      </c>
      <c r="N235">
        <v>8</v>
      </c>
      <c r="O235" t="s">
        <v>52</v>
      </c>
      <c r="P235" t="s">
        <v>38</v>
      </c>
      <c r="Q235">
        <v>29</v>
      </c>
      <c r="R235">
        <v>0</v>
      </c>
      <c r="S235" t="s">
        <v>560</v>
      </c>
      <c r="T235" t="s">
        <v>681</v>
      </c>
      <c r="U235" t="s">
        <v>41</v>
      </c>
      <c r="V235" t="s">
        <v>58</v>
      </c>
      <c r="W235" t="s">
        <v>43</v>
      </c>
      <c r="X235" t="s">
        <v>631</v>
      </c>
      <c r="Y235" t="s">
        <v>45</v>
      </c>
      <c r="Z235">
        <v>20</v>
      </c>
      <c r="AA235">
        <v>6</v>
      </c>
      <c r="AB235" t="s">
        <v>46</v>
      </c>
      <c r="AC235" t="s">
        <v>47</v>
      </c>
      <c r="AD235" t="s">
        <v>748</v>
      </c>
      <c r="AE235" t="s">
        <v>749</v>
      </c>
    </row>
    <row r="236" spans="1:31" x14ac:dyDescent="0.2">
      <c r="A236" t="s">
        <v>31</v>
      </c>
      <c r="B236">
        <v>2011</v>
      </c>
      <c r="C236">
        <v>61</v>
      </c>
      <c r="D236" s="1">
        <v>40678</v>
      </c>
      <c r="E236" t="s">
        <v>740</v>
      </c>
      <c r="F236" t="s">
        <v>741</v>
      </c>
      <c r="G236" t="s">
        <v>613</v>
      </c>
      <c r="H236" t="s">
        <v>66</v>
      </c>
      <c r="I236" t="s">
        <v>613</v>
      </c>
      <c r="J236" t="s">
        <v>37</v>
      </c>
      <c r="K236">
        <v>98</v>
      </c>
      <c r="L236">
        <v>2</v>
      </c>
      <c r="M236">
        <v>97</v>
      </c>
      <c r="N236">
        <v>10</v>
      </c>
      <c r="O236" t="s">
        <v>613</v>
      </c>
      <c r="P236" t="s">
        <v>38</v>
      </c>
      <c r="Q236">
        <v>0</v>
      </c>
      <c r="R236">
        <v>8</v>
      </c>
      <c r="S236" t="s">
        <v>418</v>
      </c>
      <c r="T236" t="s">
        <v>502</v>
      </c>
      <c r="U236" t="s">
        <v>604</v>
      </c>
      <c r="V236" t="s">
        <v>656</v>
      </c>
      <c r="W236" t="s">
        <v>316</v>
      </c>
      <c r="X236" t="s">
        <v>621</v>
      </c>
      <c r="Y236" t="s">
        <v>45</v>
      </c>
      <c r="Z236">
        <v>20</v>
      </c>
      <c r="AA236">
        <v>6</v>
      </c>
      <c r="AB236" t="s">
        <v>46</v>
      </c>
      <c r="AC236" t="s">
        <v>47</v>
      </c>
      <c r="AD236" t="s">
        <v>750</v>
      </c>
      <c r="AE236" t="s">
        <v>751</v>
      </c>
    </row>
    <row r="237" spans="1:31" x14ac:dyDescent="0.2">
      <c r="A237" t="s">
        <v>31</v>
      </c>
      <c r="B237">
        <v>2011</v>
      </c>
      <c r="C237">
        <v>62</v>
      </c>
      <c r="D237" s="1">
        <v>40679</v>
      </c>
      <c r="E237" t="s">
        <v>85</v>
      </c>
      <c r="F237" t="s">
        <v>131</v>
      </c>
      <c r="G237" t="s">
        <v>619</v>
      </c>
      <c r="H237" t="s">
        <v>77</v>
      </c>
      <c r="I237" t="s">
        <v>77</v>
      </c>
      <c r="J237" t="s">
        <v>37</v>
      </c>
      <c r="K237">
        <v>136</v>
      </c>
      <c r="L237">
        <v>9</v>
      </c>
      <c r="M237">
        <v>138</v>
      </c>
      <c r="N237">
        <v>4</v>
      </c>
      <c r="O237" t="s">
        <v>77</v>
      </c>
      <c r="P237" t="s">
        <v>38</v>
      </c>
      <c r="Q237">
        <v>0</v>
      </c>
      <c r="R237">
        <v>6</v>
      </c>
      <c r="S237" t="s">
        <v>204</v>
      </c>
      <c r="T237" t="s">
        <v>293</v>
      </c>
      <c r="U237" t="s">
        <v>111</v>
      </c>
      <c r="V237" t="s">
        <v>124</v>
      </c>
      <c r="W237" t="s">
        <v>286</v>
      </c>
      <c r="X237" t="s">
        <v>621</v>
      </c>
      <c r="Y237" t="s">
        <v>45</v>
      </c>
      <c r="Z237">
        <v>20</v>
      </c>
      <c r="AA237">
        <v>6</v>
      </c>
      <c r="AB237" t="s">
        <v>46</v>
      </c>
      <c r="AC237" t="s">
        <v>47</v>
      </c>
      <c r="AD237" t="s">
        <v>752</v>
      </c>
      <c r="AE237" t="s">
        <v>753</v>
      </c>
    </row>
    <row r="238" spans="1:31" x14ac:dyDescent="0.2">
      <c r="A238" t="s">
        <v>31</v>
      </c>
      <c r="B238">
        <v>2011</v>
      </c>
      <c r="C238">
        <v>63</v>
      </c>
      <c r="D238" s="1">
        <v>40680</v>
      </c>
      <c r="E238" t="s">
        <v>578</v>
      </c>
      <c r="F238" t="s">
        <v>579</v>
      </c>
      <c r="G238" t="s">
        <v>52</v>
      </c>
      <c r="H238" t="s">
        <v>35</v>
      </c>
      <c r="I238" t="s">
        <v>52</v>
      </c>
      <c r="J238" t="s">
        <v>54</v>
      </c>
      <c r="K238">
        <v>232</v>
      </c>
      <c r="L238">
        <v>2</v>
      </c>
      <c r="M238">
        <v>121</v>
      </c>
      <c r="N238">
        <v>10</v>
      </c>
      <c r="O238" t="s">
        <v>52</v>
      </c>
      <c r="P238" t="s">
        <v>38</v>
      </c>
      <c r="Q238">
        <v>111</v>
      </c>
      <c r="R238">
        <v>0</v>
      </c>
      <c r="S238" t="s">
        <v>132</v>
      </c>
      <c r="T238" t="s">
        <v>681</v>
      </c>
      <c r="U238" t="s">
        <v>41</v>
      </c>
      <c r="V238" t="s">
        <v>43</v>
      </c>
      <c r="W238" t="s">
        <v>58</v>
      </c>
      <c r="X238" t="s">
        <v>631</v>
      </c>
      <c r="Y238" t="s">
        <v>45</v>
      </c>
      <c r="Z238">
        <v>20</v>
      </c>
      <c r="AA238">
        <v>6</v>
      </c>
      <c r="AB238" t="s">
        <v>46</v>
      </c>
      <c r="AC238" t="s">
        <v>47</v>
      </c>
      <c r="AD238" t="s">
        <v>754</v>
      </c>
      <c r="AE238" t="s">
        <v>755</v>
      </c>
    </row>
    <row r="239" spans="1:31" x14ac:dyDescent="0.2">
      <c r="A239" t="s">
        <v>31</v>
      </c>
      <c r="B239">
        <v>2011</v>
      </c>
      <c r="C239">
        <v>64</v>
      </c>
      <c r="D239" s="1">
        <v>40681</v>
      </c>
      <c r="E239" t="s">
        <v>108</v>
      </c>
      <c r="F239" t="s">
        <v>109</v>
      </c>
      <c r="G239" t="s">
        <v>53</v>
      </c>
      <c r="H239" t="s">
        <v>613</v>
      </c>
      <c r="I239" t="s">
        <v>53</v>
      </c>
      <c r="J239" t="s">
        <v>54</v>
      </c>
      <c r="K239">
        <v>152</v>
      </c>
      <c r="L239">
        <v>5</v>
      </c>
      <c r="M239">
        <v>141</v>
      </c>
      <c r="N239">
        <v>5</v>
      </c>
      <c r="O239" t="s">
        <v>53</v>
      </c>
      <c r="P239" t="s">
        <v>38</v>
      </c>
      <c r="Q239">
        <v>11</v>
      </c>
      <c r="R239">
        <v>0</v>
      </c>
      <c r="S239" t="s">
        <v>756</v>
      </c>
      <c r="T239" t="s">
        <v>502</v>
      </c>
      <c r="U239" t="s">
        <v>312</v>
      </c>
      <c r="V239" t="s">
        <v>42</v>
      </c>
      <c r="W239" t="s">
        <v>81</v>
      </c>
      <c r="X239" t="s">
        <v>605</v>
      </c>
      <c r="Y239" t="s">
        <v>45</v>
      </c>
      <c r="Z239">
        <v>20</v>
      </c>
      <c r="AA239">
        <v>6</v>
      </c>
      <c r="AB239" t="s">
        <v>46</v>
      </c>
      <c r="AC239" t="s">
        <v>47</v>
      </c>
      <c r="AD239" t="s">
        <v>757</v>
      </c>
      <c r="AE239" t="s">
        <v>758</v>
      </c>
    </row>
    <row r="240" spans="1:31" x14ac:dyDescent="0.2">
      <c r="A240" t="s">
        <v>31</v>
      </c>
      <c r="B240">
        <v>2011</v>
      </c>
      <c r="C240">
        <v>65</v>
      </c>
      <c r="D240" s="1">
        <v>40682</v>
      </c>
      <c r="E240" t="s">
        <v>85</v>
      </c>
      <c r="F240" t="s">
        <v>131</v>
      </c>
      <c r="G240" t="s">
        <v>619</v>
      </c>
      <c r="H240" t="s">
        <v>36</v>
      </c>
      <c r="I240" t="s">
        <v>36</v>
      </c>
      <c r="J240" t="s">
        <v>37</v>
      </c>
      <c r="K240">
        <v>118</v>
      </c>
      <c r="L240">
        <v>7</v>
      </c>
      <c r="M240">
        <v>119</v>
      </c>
      <c r="N240">
        <v>3</v>
      </c>
      <c r="O240" t="s">
        <v>36</v>
      </c>
      <c r="P240" t="s">
        <v>38</v>
      </c>
      <c r="Q240">
        <v>0</v>
      </c>
      <c r="R240">
        <v>7</v>
      </c>
      <c r="S240" t="s">
        <v>114</v>
      </c>
      <c r="T240" t="s">
        <v>293</v>
      </c>
      <c r="U240" t="s">
        <v>111</v>
      </c>
      <c r="V240" t="s">
        <v>286</v>
      </c>
      <c r="W240" t="s">
        <v>124</v>
      </c>
      <c r="X240" t="s">
        <v>621</v>
      </c>
      <c r="Y240" t="s">
        <v>45</v>
      </c>
      <c r="Z240">
        <v>20</v>
      </c>
      <c r="AA240">
        <v>6</v>
      </c>
      <c r="AB240" t="s">
        <v>46</v>
      </c>
      <c r="AC240" t="s">
        <v>47</v>
      </c>
      <c r="AD240" t="s">
        <v>759</v>
      </c>
      <c r="AE240" t="s">
        <v>760</v>
      </c>
    </row>
    <row r="241" spans="1:31" x14ac:dyDescent="0.2">
      <c r="A241" t="s">
        <v>31</v>
      </c>
      <c r="B241">
        <v>2011</v>
      </c>
      <c r="C241">
        <v>66</v>
      </c>
      <c r="D241" s="1">
        <v>40683</v>
      </c>
      <c r="E241" t="s">
        <v>85</v>
      </c>
      <c r="F241" t="s">
        <v>86</v>
      </c>
      <c r="G241" t="s">
        <v>87</v>
      </c>
      <c r="H241" t="s">
        <v>66</v>
      </c>
      <c r="I241" t="s">
        <v>87</v>
      </c>
      <c r="J241" t="s">
        <v>54</v>
      </c>
      <c r="K241">
        <v>133</v>
      </c>
      <c r="L241">
        <v>5</v>
      </c>
      <c r="M241">
        <v>134</v>
      </c>
      <c r="N241">
        <v>0</v>
      </c>
      <c r="O241" t="s">
        <v>66</v>
      </c>
      <c r="P241" t="s">
        <v>38</v>
      </c>
      <c r="Q241">
        <v>0</v>
      </c>
      <c r="R241">
        <v>10</v>
      </c>
      <c r="S241" t="s">
        <v>97</v>
      </c>
      <c r="T241" t="s">
        <v>40</v>
      </c>
      <c r="U241" t="s">
        <v>42</v>
      </c>
      <c r="V241" t="s">
        <v>604</v>
      </c>
      <c r="W241" t="s">
        <v>316</v>
      </c>
      <c r="X241" t="s">
        <v>642</v>
      </c>
      <c r="Y241" t="s">
        <v>45</v>
      </c>
      <c r="Z241">
        <v>20</v>
      </c>
      <c r="AA241">
        <v>6</v>
      </c>
      <c r="AB241" t="s">
        <v>46</v>
      </c>
      <c r="AC241" t="s">
        <v>47</v>
      </c>
      <c r="AD241" t="s">
        <v>761</v>
      </c>
      <c r="AE241" t="s">
        <v>762</v>
      </c>
    </row>
    <row r="242" spans="1:31" x14ac:dyDescent="0.2">
      <c r="A242" t="s">
        <v>31</v>
      </c>
      <c r="B242">
        <v>2011</v>
      </c>
      <c r="C242">
        <v>67</v>
      </c>
      <c r="D242" s="1">
        <v>40684</v>
      </c>
      <c r="E242" t="s">
        <v>578</v>
      </c>
      <c r="F242" t="s">
        <v>579</v>
      </c>
      <c r="G242" t="s">
        <v>52</v>
      </c>
      <c r="H242" t="s">
        <v>77</v>
      </c>
      <c r="I242" t="s">
        <v>52</v>
      </c>
      <c r="J242" t="s">
        <v>37</v>
      </c>
      <c r="K242">
        <v>116</v>
      </c>
      <c r="L242">
        <v>10</v>
      </c>
      <c r="M242">
        <v>198</v>
      </c>
      <c r="N242">
        <v>2</v>
      </c>
      <c r="O242" t="s">
        <v>77</v>
      </c>
      <c r="P242" t="s">
        <v>38</v>
      </c>
      <c r="Q242">
        <v>82</v>
      </c>
      <c r="R242">
        <v>0</v>
      </c>
      <c r="S242" t="s">
        <v>763</v>
      </c>
      <c r="T242" t="s">
        <v>681</v>
      </c>
      <c r="U242" t="s">
        <v>41</v>
      </c>
      <c r="V242" t="s">
        <v>43</v>
      </c>
      <c r="W242" t="s">
        <v>58</v>
      </c>
      <c r="X242" t="s">
        <v>631</v>
      </c>
      <c r="Y242" t="s">
        <v>45</v>
      </c>
      <c r="Z242">
        <v>20</v>
      </c>
      <c r="AA242">
        <v>6</v>
      </c>
      <c r="AB242" t="s">
        <v>46</v>
      </c>
      <c r="AC242" t="s">
        <v>47</v>
      </c>
      <c r="AD242" t="s">
        <v>764</v>
      </c>
      <c r="AE242" t="s">
        <v>765</v>
      </c>
    </row>
    <row r="243" spans="1:31" x14ac:dyDescent="0.2">
      <c r="A243" t="s">
        <v>31</v>
      </c>
      <c r="B243">
        <v>2011</v>
      </c>
      <c r="C243">
        <v>68</v>
      </c>
      <c r="D243" s="1">
        <v>40684</v>
      </c>
      <c r="E243" t="s">
        <v>63</v>
      </c>
      <c r="F243" t="s">
        <v>64</v>
      </c>
      <c r="G243" t="s">
        <v>65</v>
      </c>
      <c r="H243" t="s">
        <v>619</v>
      </c>
      <c r="I243" t="s">
        <v>65</v>
      </c>
      <c r="J243" t="s">
        <v>54</v>
      </c>
      <c r="K243">
        <v>56</v>
      </c>
      <c r="L243">
        <v>3</v>
      </c>
      <c r="M243">
        <v>0</v>
      </c>
      <c r="N243">
        <v>0</v>
      </c>
      <c r="O243" t="s">
        <v>304</v>
      </c>
      <c r="P243" t="s">
        <v>766</v>
      </c>
      <c r="Q243">
        <v>0</v>
      </c>
      <c r="R243">
        <v>0</v>
      </c>
      <c r="S243" t="s">
        <v>304</v>
      </c>
      <c r="T243" t="s">
        <v>440</v>
      </c>
      <c r="U243" t="s">
        <v>354</v>
      </c>
      <c r="V243" t="s">
        <v>656</v>
      </c>
      <c r="W243" t="s">
        <v>59</v>
      </c>
      <c r="X243" t="s">
        <v>146</v>
      </c>
      <c r="Y243" t="s">
        <v>45</v>
      </c>
      <c r="Z243">
        <v>20</v>
      </c>
      <c r="AA243">
        <v>6</v>
      </c>
      <c r="AB243" t="s">
        <v>46</v>
      </c>
      <c r="AC243" t="s">
        <v>47</v>
      </c>
      <c r="AD243" t="s">
        <v>767</v>
      </c>
      <c r="AE243" t="s">
        <v>768</v>
      </c>
    </row>
    <row r="244" spans="1:31" x14ac:dyDescent="0.2">
      <c r="A244" t="s">
        <v>31</v>
      </c>
      <c r="B244">
        <v>2011</v>
      </c>
      <c r="C244">
        <v>69</v>
      </c>
      <c r="D244" s="1">
        <v>40685</v>
      </c>
      <c r="E244" t="s">
        <v>33</v>
      </c>
      <c r="F244" t="s">
        <v>34</v>
      </c>
      <c r="G244" t="s">
        <v>35</v>
      </c>
      <c r="H244" t="s">
        <v>53</v>
      </c>
      <c r="I244" t="s">
        <v>35</v>
      </c>
      <c r="J244" t="s">
        <v>37</v>
      </c>
      <c r="K244">
        <v>129</v>
      </c>
      <c r="L244">
        <v>2</v>
      </c>
      <c r="M244">
        <v>128</v>
      </c>
      <c r="N244">
        <v>8</v>
      </c>
      <c r="O244" t="s">
        <v>35</v>
      </c>
      <c r="P244" t="s">
        <v>38</v>
      </c>
      <c r="Q244">
        <v>0</v>
      </c>
      <c r="R244">
        <v>8</v>
      </c>
      <c r="S244" t="s">
        <v>292</v>
      </c>
      <c r="T244" t="s">
        <v>502</v>
      </c>
      <c r="U244" t="s">
        <v>81</v>
      </c>
      <c r="V244" t="s">
        <v>42</v>
      </c>
      <c r="W244" t="s">
        <v>312</v>
      </c>
      <c r="X244" t="s">
        <v>158</v>
      </c>
      <c r="Y244" t="s">
        <v>45</v>
      </c>
      <c r="Z244">
        <v>20</v>
      </c>
      <c r="AA244">
        <v>6</v>
      </c>
      <c r="AB244" t="s">
        <v>46</v>
      </c>
      <c r="AC244" t="s">
        <v>47</v>
      </c>
      <c r="AD244" t="s">
        <v>769</v>
      </c>
      <c r="AE244" t="s">
        <v>770</v>
      </c>
    </row>
    <row r="245" spans="1:31" x14ac:dyDescent="0.2">
      <c r="A245" t="s">
        <v>31</v>
      </c>
      <c r="B245">
        <v>2011</v>
      </c>
      <c r="C245">
        <v>70</v>
      </c>
      <c r="D245" s="1">
        <v>40685</v>
      </c>
      <c r="E245" t="s">
        <v>75</v>
      </c>
      <c r="F245" t="s">
        <v>76</v>
      </c>
      <c r="G245" t="s">
        <v>36</v>
      </c>
      <c r="H245" t="s">
        <v>87</v>
      </c>
      <c r="I245" t="s">
        <v>87</v>
      </c>
      <c r="J245" t="s">
        <v>37</v>
      </c>
      <c r="K245">
        <v>175</v>
      </c>
      <c r="L245">
        <v>7</v>
      </c>
      <c r="M245">
        <v>178</v>
      </c>
      <c r="N245">
        <v>5</v>
      </c>
      <c r="O245" t="s">
        <v>87</v>
      </c>
      <c r="P245" t="s">
        <v>38</v>
      </c>
      <c r="Q245">
        <v>0</v>
      </c>
      <c r="R245">
        <v>5</v>
      </c>
      <c r="S245" t="s">
        <v>771</v>
      </c>
      <c r="T245" t="s">
        <v>293</v>
      </c>
      <c r="U245" t="s">
        <v>124</v>
      </c>
      <c r="V245" t="s">
        <v>286</v>
      </c>
      <c r="W245" t="s">
        <v>111</v>
      </c>
      <c r="X245" t="s">
        <v>454</v>
      </c>
      <c r="Y245" t="s">
        <v>45</v>
      </c>
      <c r="Z245">
        <v>20</v>
      </c>
      <c r="AA245">
        <v>6</v>
      </c>
      <c r="AB245" t="s">
        <v>46</v>
      </c>
      <c r="AC245" t="s">
        <v>47</v>
      </c>
      <c r="AD245" t="s">
        <v>772</v>
      </c>
      <c r="AE245" t="s">
        <v>773</v>
      </c>
    </row>
    <row r="246" spans="1:31" x14ac:dyDescent="0.2">
      <c r="A246" t="s">
        <v>31</v>
      </c>
      <c r="B246">
        <v>2011</v>
      </c>
      <c r="C246" t="s">
        <v>256</v>
      </c>
      <c r="D246" s="1">
        <v>40687</v>
      </c>
      <c r="E246" t="s">
        <v>85</v>
      </c>
      <c r="F246" t="s">
        <v>86</v>
      </c>
      <c r="G246" t="s">
        <v>35</v>
      </c>
      <c r="H246" t="s">
        <v>53</v>
      </c>
      <c r="I246" t="s">
        <v>53</v>
      </c>
      <c r="J246" t="s">
        <v>37</v>
      </c>
      <c r="K246">
        <v>175</v>
      </c>
      <c r="L246">
        <v>4</v>
      </c>
      <c r="M246">
        <v>177</v>
      </c>
      <c r="N246">
        <v>4</v>
      </c>
      <c r="O246" t="s">
        <v>53</v>
      </c>
      <c r="P246" t="s">
        <v>38</v>
      </c>
      <c r="Q246">
        <v>0</v>
      </c>
      <c r="R246">
        <v>6</v>
      </c>
      <c r="S246" t="s">
        <v>248</v>
      </c>
      <c r="T246" t="s">
        <v>502</v>
      </c>
      <c r="U246" t="s">
        <v>41</v>
      </c>
      <c r="V246" t="s">
        <v>286</v>
      </c>
      <c r="W246" t="s">
        <v>604</v>
      </c>
      <c r="X246" t="s">
        <v>642</v>
      </c>
      <c r="Y246" t="s">
        <v>45</v>
      </c>
      <c r="Z246">
        <v>20</v>
      </c>
      <c r="AA246">
        <v>6</v>
      </c>
      <c r="AB246" t="s">
        <v>46</v>
      </c>
      <c r="AC246" t="s">
        <v>47</v>
      </c>
      <c r="AD246" t="s">
        <v>774</v>
      </c>
      <c r="AE246" t="s">
        <v>775</v>
      </c>
    </row>
    <row r="247" spans="1:31" x14ac:dyDescent="0.2">
      <c r="A247" t="s">
        <v>31</v>
      </c>
      <c r="B247">
        <v>2011</v>
      </c>
      <c r="C247" t="s">
        <v>256</v>
      </c>
      <c r="D247" s="1">
        <v>40688</v>
      </c>
      <c r="E247" t="s">
        <v>85</v>
      </c>
      <c r="F247" t="s">
        <v>86</v>
      </c>
      <c r="G247" t="s">
        <v>87</v>
      </c>
      <c r="H247" t="s">
        <v>36</v>
      </c>
      <c r="I247" t="s">
        <v>87</v>
      </c>
      <c r="J247" t="s">
        <v>37</v>
      </c>
      <c r="K247">
        <v>148</v>
      </c>
      <c r="L247">
        <v>6</v>
      </c>
      <c r="M247">
        <v>147</v>
      </c>
      <c r="N247">
        <v>7</v>
      </c>
      <c r="O247" t="s">
        <v>87</v>
      </c>
      <c r="P247" t="s">
        <v>38</v>
      </c>
      <c r="Q247">
        <v>0</v>
      </c>
      <c r="R247">
        <v>4</v>
      </c>
      <c r="S247" t="s">
        <v>659</v>
      </c>
      <c r="T247" t="s">
        <v>502</v>
      </c>
      <c r="U247" t="s">
        <v>41</v>
      </c>
      <c r="V247" t="s">
        <v>286</v>
      </c>
      <c r="W247" t="s">
        <v>604</v>
      </c>
      <c r="X247" t="s">
        <v>44</v>
      </c>
      <c r="Y247" t="s">
        <v>45</v>
      </c>
      <c r="Z247">
        <v>20</v>
      </c>
      <c r="AA247">
        <v>6</v>
      </c>
      <c r="AB247" t="s">
        <v>46</v>
      </c>
      <c r="AC247" t="s">
        <v>47</v>
      </c>
      <c r="AD247" t="s">
        <v>776</v>
      </c>
      <c r="AE247" t="s">
        <v>777</v>
      </c>
    </row>
    <row r="248" spans="1:31" x14ac:dyDescent="0.2">
      <c r="A248" t="s">
        <v>31</v>
      </c>
      <c r="B248">
        <v>2011</v>
      </c>
      <c r="C248" t="s">
        <v>256</v>
      </c>
      <c r="D248" s="1">
        <v>40690</v>
      </c>
      <c r="E248" t="s">
        <v>108</v>
      </c>
      <c r="F248" t="s">
        <v>109</v>
      </c>
      <c r="G248" t="s">
        <v>35</v>
      </c>
      <c r="H248" t="s">
        <v>87</v>
      </c>
      <c r="I248" t="s">
        <v>87</v>
      </c>
      <c r="J248" t="s">
        <v>37</v>
      </c>
      <c r="K248">
        <v>185</v>
      </c>
      <c r="L248">
        <v>4</v>
      </c>
      <c r="M248">
        <v>142</v>
      </c>
      <c r="N248">
        <v>8</v>
      </c>
      <c r="O248" t="s">
        <v>35</v>
      </c>
      <c r="P248" t="s">
        <v>38</v>
      </c>
      <c r="Q248">
        <v>43</v>
      </c>
      <c r="R248">
        <v>0</v>
      </c>
      <c r="S248" t="s">
        <v>292</v>
      </c>
      <c r="T248" t="s">
        <v>502</v>
      </c>
      <c r="U248" t="s">
        <v>41</v>
      </c>
      <c r="V248" t="s">
        <v>286</v>
      </c>
      <c r="W248" t="s">
        <v>312</v>
      </c>
      <c r="X248" t="s">
        <v>605</v>
      </c>
      <c r="Y248" t="s">
        <v>45</v>
      </c>
      <c r="Z248">
        <v>20</v>
      </c>
      <c r="AA248">
        <v>6</v>
      </c>
      <c r="AB248" t="s">
        <v>46</v>
      </c>
      <c r="AC248" t="s">
        <v>47</v>
      </c>
      <c r="AD248" t="s">
        <v>778</v>
      </c>
      <c r="AE248" t="s">
        <v>779</v>
      </c>
    </row>
    <row r="249" spans="1:31" x14ac:dyDescent="0.2">
      <c r="A249" t="s">
        <v>31</v>
      </c>
      <c r="B249">
        <v>2011</v>
      </c>
      <c r="C249" t="s">
        <v>256</v>
      </c>
      <c r="D249" s="1">
        <v>40691</v>
      </c>
      <c r="E249" t="s">
        <v>108</v>
      </c>
      <c r="F249" t="s">
        <v>109</v>
      </c>
      <c r="G249" t="s">
        <v>53</v>
      </c>
      <c r="H249" t="s">
        <v>35</v>
      </c>
      <c r="I249" t="s">
        <v>53</v>
      </c>
      <c r="J249" t="s">
        <v>54</v>
      </c>
      <c r="K249">
        <v>205</v>
      </c>
      <c r="L249">
        <v>5</v>
      </c>
      <c r="M249">
        <v>147</v>
      </c>
      <c r="N249">
        <v>8</v>
      </c>
      <c r="O249" t="s">
        <v>53</v>
      </c>
      <c r="P249" t="s">
        <v>38</v>
      </c>
      <c r="Q249">
        <v>58</v>
      </c>
      <c r="R249">
        <v>0</v>
      </c>
      <c r="S249" t="s">
        <v>518</v>
      </c>
      <c r="T249" t="s">
        <v>502</v>
      </c>
      <c r="U249" t="s">
        <v>41</v>
      </c>
      <c r="V249" t="s">
        <v>286</v>
      </c>
      <c r="W249" t="s">
        <v>312</v>
      </c>
      <c r="X249" t="s">
        <v>605</v>
      </c>
      <c r="Y249" t="s">
        <v>45</v>
      </c>
      <c r="Z249">
        <v>20</v>
      </c>
      <c r="AA249">
        <v>6</v>
      </c>
      <c r="AB249" t="s">
        <v>46</v>
      </c>
      <c r="AC249" t="s">
        <v>47</v>
      </c>
      <c r="AD249" t="s">
        <v>780</v>
      </c>
      <c r="AE249" t="s">
        <v>781</v>
      </c>
    </row>
    <row r="250" spans="1:31" x14ac:dyDescent="0.2">
      <c r="A250" t="s">
        <v>31</v>
      </c>
      <c r="B250">
        <v>2012</v>
      </c>
      <c r="C250">
        <v>1</v>
      </c>
      <c r="D250" s="1">
        <v>41003</v>
      </c>
      <c r="E250" t="s">
        <v>108</v>
      </c>
      <c r="F250" t="s">
        <v>109</v>
      </c>
      <c r="G250" t="s">
        <v>53</v>
      </c>
      <c r="H250" t="s">
        <v>87</v>
      </c>
      <c r="I250" t="s">
        <v>87</v>
      </c>
      <c r="J250" t="s">
        <v>37</v>
      </c>
      <c r="K250">
        <v>112</v>
      </c>
      <c r="L250">
        <v>10</v>
      </c>
      <c r="M250">
        <v>115</v>
      </c>
      <c r="N250">
        <v>3</v>
      </c>
      <c r="O250" t="s">
        <v>87</v>
      </c>
      <c r="P250" t="s">
        <v>38</v>
      </c>
      <c r="Q250">
        <v>0</v>
      </c>
      <c r="R250">
        <v>8</v>
      </c>
      <c r="S250" t="s">
        <v>782</v>
      </c>
      <c r="T250" t="s">
        <v>783</v>
      </c>
      <c r="U250" t="s">
        <v>329</v>
      </c>
      <c r="V250" t="s">
        <v>286</v>
      </c>
      <c r="W250" t="s">
        <v>111</v>
      </c>
      <c r="X250" t="s">
        <v>605</v>
      </c>
      <c r="Y250" t="s">
        <v>45</v>
      </c>
      <c r="Z250">
        <v>20</v>
      </c>
      <c r="AA250">
        <v>6</v>
      </c>
      <c r="AB250" t="s">
        <v>46</v>
      </c>
      <c r="AC250" t="s">
        <v>47</v>
      </c>
      <c r="AD250" t="s">
        <v>784</v>
      </c>
      <c r="AE250" t="s">
        <v>785</v>
      </c>
    </row>
    <row r="251" spans="1:31" x14ac:dyDescent="0.2">
      <c r="A251" t="s">
        <v>31</v>
      </c>
      <c r="B251">
        <v>2012</v>
      </c>
      <c r="C251">
        <v>2</v>
      </c>
      <c r="D251" s="1">
        <v>41004</v>
      </c>
      <c r="E251" t="s">
        <v>75</v>
      </c>
      <c r="F251" t="s">
        <v>76</v>
      </c>
      <c r="G251" t="s">
        <v>36</v>
      </c>
      <c r="H251" t="s">
        <v>65</v>
      </c>
      <c r="I251" t="s">
        <v>65</v>
      </c>
      <c r="J251" t="s">
        <v>37</v>
      </c>
      <c r="K251">
        <v>97</v>
      </c>
      <c r="L251">
        <v>9</v>
      </c>
      <c r="M251">
        <v>100</v>
      </c>
      <c r="N251">
        <v>2</v>
      </c>
      <c r="O251" t="s">
        <v>65</v>
      </c>
      <c r="P251" t="s">
        <v>38</v>
      </c>
      <c r="Q251">
        <v>0</v>
      </c>
      <c r="R251">
        <v>8</v>
      </c>
      <c r="S251" t="s">
        <v>161</v>
      </c>
      <c r="T251" t="s">
        <v>681</v>
      </c>
      <c r="U251" t="s">
        <v>316</v>
      </c>
      <c r="V251" t="s">
        <v>312</v>
      </c>
      <c r="W251" t="s">
        <v>454</v>
      </c>
      <c r="X251" t="s">
        <v>786</v>
      </c>
      <c r="Y251" t="s">
        <v>45</v>
      </c>
      <c r="Z251">
        <v>20</v>
      </c>
      <c r="AA251">
        <v>6</v>
      </c>
      <c r="AB251" t="s">
        <v>46</v>
      </c>
      <c r="AC251" t="s">
        <v>47</v>
      </c>
      <c r="AD251" t="s">
        <v>787</v>
      </c>
      <c r="AE251" t="s">
        <v>788</v>
      </c>
    </row>
    <row r="252" spans="1:31" x14ac:dyDescent="0.2">
      <c r="A252" t="s">
        <v>31</v>
      </c>
      <c r="B252">
        <v>2012</v>
      </c>
      <c r="C252">
        <v>3</v>
      </c>
      <c r="D252" s="1">
        <v>41005</v>
      </c>
      <c r="E252" t="s">
        <v>85</v>
      </c>
      <c r="F252" t="s">
        <v>86</v>
      </c>
      <c r="G252" t="s">
        <v>87</v>
      </c>
      <c r="H252" t="s">
        <v>619</v>
      </c>
      <c r="I252" t="s">
        <v>87</v>
      </c>
      <c r="J252" t="s">
        <v>37</v>
      </c>
      <c r="K252">
        <v>101</v>
      </c>
      <c r="L252">
        <v>9</v>
      </c>
      <c r="M252">
        <v>129</v>
      </c>
      <c r="N252">
        <v>9</v>
      </c>
      <c r="O252" t="s">
        <v>619</v>
      </c>
      <c r="P252" t="s">
        <v>38</v>
      </c>
      <c r="Q252">
        <v>28</v>
      </c>
      <c r="R252">
        <v>0</v>
      </c>
      <c r="S252" t="s">
        <v>789</v>
      </c>
      <c r="T252" t="s">
        <v>790</v>
      </c>
      <c r="U252" t="s">
        <v>146</v>
      </c>
      <c r="V252" t="s">
        <v>286</v>
      </c>
      <c r="W252" t="s">
        <v>329</v>
      </c>
      <c r="X252" t="s">
        <v>791</v>
      </c>
      <c r="Y252" t="s">
        <v>45</v>
      </c>
      <c r="Z252">
        <v>20</v>
      </c>
      <c r="AA252">
        <v>6</v>
      </c>
      <c r="AB252" t="s">
        <v>46</v>
      </c>
      <c r="AC252" t="s">
        <v>47</v>
      </c>
      <c r="AD252" t="s">
        <v>792</v>
      </c>
      <c r="AE252" t="s">
        <v>793</v>
      </c>
    </row>
    <row r="253" spans="1:31" x14ac:dyDescent="0.2">
      <c r="A253" t="s">
        <v>31</v>
      </c>
      <c r="B253">
        <v>2012</v>
      </c>
      <c r="C253">
        <v>4</v>
      </c>
      <c r="D253" s="1">
        <v>41005</v>
      </c>
      <c r="E253" t="s">
        <v>95</v>
      </c>
      <c r="F253" t="s">
        <v>96</v>
      </c>
      <c r="G253" t="s">
        <v>66</v>
      </c>
      <c r="H253" t="s">
        <v>52</v>
      </c>
      <c r="I253" t="s">
        <v>52</v>
      </c>
      <c r="J253" t="s">
        <v>37</v>
      </c>
      <c r="K253">
        <v>191</v>
      </c>
      <c r="L253">
        <v>4</v>
      </c>
      <c r="M253">
        <v>160</v>
      </c>
      <c r="N253">
        <v>9</v>
      </c>
      <c r="O253" t="s">
        <v>66</v>
      </c>
      <c r="P253" t="s">
        <v>38</v>
      </c>
      <c r="Q253">
        <v>31</v>
      </c>
      <c r="R253">
        <v>0</v>
      </c>
      <c r="S253" t="s">
        <v>794</v>
      </c>
      <c r="T253" t="s">
        <v>783</v>
      </c>
      <c r="U253" t="s">
        <v>80</v>
      </c>
      <c r="V253" t="s">
        <v>124</v>
      </c>
      <c r="W253" t="s">
        <v>642</v>
      </c>
      <c r="X253" t="s">
        <v>795</v>
      </c>
      <c r="Y253" t="s">
        <v>45</v>
      </c>
      <c r="Z253">
        <v>20</v>
      </c>
      <c r="AA253">
        <v>6</v>
      </c>
      <c r="AB253" t="s">
        <v>46</v>
      </c>
      <c r="AC253" t="s">
        <v>47</v>
      </c>
      <c r="AD253" t="s">
        <v>796</v>
      </c>
      <c r="AE253" t="s">
        <v>797</v>
      </c>
    </row>
    <row r="254" spans="1:31" x14ac:dyDescent="0.2">
      <c r="A254" t="s">
        <v>31</v>
      </c>
      <c r="B254">
        <v>2012</v>
      </c>
      <c r="C254">
        <v>5</v>
      </c>
      <c r="D254" s="1">
        <v>41006</v>
      </c>
      <c r="E254" t="s">
        <v>33</v>
      </c>
      <c r="F254" t="s">
        <v>34</v>
      </c>
      <c r="G254" t="s">
        <v>35</v>
      </c>
      <c r="H254" t="s">
        <v>65</v>
      </c>
      <c r="I254" t="s">
        <v>65</v>
      </c>
      <c r="J254" t="s">
        <v>37</v>
      </c>
      <c r="K254">
        <v>157</v>
      </c>
      <c r="L254">
        <v>8</v>
      </c>
      <c r="M254">
        <v>137</v>
      </c>
      <c r="N254">
        <v>7</v>
      </c>
      <c r="O254" t="s">
        <v>35</v>
      </c>
      <c r="P254" t="s">
        <v>38</v>
      </c>
      <c r="Q254">
        <v>20</v>
      </c>
      <c r="R254">
        <v>0</v>
      </c>
      <c r="S254" t="s">
        <v>300</v>
      </c>
      <c r="T254" t="s">
        <v>614</v>
      </c>
      <c r="U254" t="s">
        <v>316</v>
      </c>
      <c r="V254" t="s">
        <v>111</v>
      </c>
      <c r="W254" t="s">
        <v>454</v>
      </c>
      <c r="X254" t="s">
        <v>476</v>
      </c>
      <c r="Y254" t="s">
        <v>45</v>
      </c>
      <c r="Z254">
        <v>20</v>
      </c>
      <c r="AA254">
        <v>6</v>
      </c>
      <c r="AB254" t="s">
        <v>46</v>
      </c>
      <c r="AC254" t="s">
        <v>47</v>
      </c>
      <c r="AD254" t="s">
        <v>798</v>
      </c>
      <c r="AE254" t="s">
        <v>799</v>
      </c>
    </row>
    <row r="255" spans="1:31" x14ac:dyDescent="0.2">
      <c r="A255" t="s">
        <v>31</v>
      </c>
      <c r="B255">
        <v>2012</v>
      </c>
      <c r="C255">
        <v>6</v>
      </c>
      <c r="D255" s="1">
        <v>41006</v>
      </c>
      <c r="E255" t="s">
        <v>800</v>
      </c>
      <c r="F255" t="s">
        <v>801</v>
      </c>
      <c r="G255" t="s">
        <v>77</v>
      </c>
      <c r="H255" t="s">
        <v>53</v>
      </c>
      <c r="I255" t="s">
        <v>77</v>
      </c>
      <c r="J255" t="s">
        <v>37</v>
      </c>
      <c r="K255">
        <v>119</v>
      </c>
      <c r="L255">
        <v>10</v>
      </c>
      <c r="M255">
        <v>193</v>
      </c>
      <c r="N255">
        <v>6</v>
      </c>
      <c r="O255" t="s">
        <v>53</v>
      </c>
      <c r="P255" t="s">
        <v>38</v>
      </c>
      <c r="Q255">
        <v>74</v>
      </c>
      <c r="R255">
        <v>0</v>
      </c>
      <c r="S255" t="s">
        <v>802</v>
      </c>
      <c r="T255" t="s">
        <v>681</v>
      </c>
      <c r="U255" t="s">
        <v>329</v>
      </c>
      <c r="V255" t="s">
        <v>312</v>
      </c>
      <c r="W255" t="s">
        <v>146</v>
      </c>
      <c r="X255" t="s">
        <v>626</v>
      </c>
      <c r="Y255" t="s">
        <v>45</v>
      </c>
      <c r="Z255">
        <v>20</v>
      </c>
      <c r="AA255">
        <v>6</v>
      </c>
      <c r="AB255" t="s">
        <v>46</v>
      </c>
      <c r="AC255" t="s">
        <v>47</v>
      </c>
      <c r="AD255" t="s">
        <v>803</v>
      </c>
      <c r="AE255" t="s">
        <v>804</v>
      </c>
    </row>
    <row r="256" spans="1:31" x14ac:dyDescent="0.2">
      <c r="A256" t="s">
        <v>31</v>
      </c>
      <c r="B256">
        <v>2012</v>
      </c>
      <c r="C256">
        <v>7</v>
      </c>
      <c r="D256" s="1">
        <v>41007</v>
      </c>
      <c r="E256" t="s">
        <v>95</v>
      </c>
      <c r="F256" t="s">
        <v>96</v>
      </c>
      <c r="G256" t="s">
        <v>66</v>
      </c>
      <c r="H256" t="s">
        <v>36</v>
      </c>
      <c r="I256" t="s">
        <v>36</v>
      </c>
      <c r="J256" t="s">
        <v>37</v>
      </c>
      <c r="K256">
        <v>164</v>
      </c>
      <c r="L256">
        <v>5</v>
      </c>
      <c r="M256">
        <v>142</v>
      </c>
      <c r="N256">
        <v>10</v>
      </c>
      <c r="O256" t="s">
        <v>66</v>
      </c>
      <c r="P256" t="s">
        <v>38</v>
      </c>
      <c r="Q256">
        <v>22</v>
      </c>
      <c r="R256">
        <v>0</v>
      </c>
      <c r="S256" t="s">
        <v>418</v>
      </c>
      <c r="T256" t="s">
        <v>783</v>
      </c>
      <c r="U256" t="s">
        <v>80</v>
      </c>
      <c r="V256" t="s">
        <v>642</v>
      </c>
      <c r="W256" t="s">
        <v>124</v>
      </c>
      <c r="X256" t="s">
        <v>795</v>
      </c>
      <c r="Y256" t="s">
        <v>45</v>
      </c>
      <c r="Z256">
        <v>20</v>
      </c>
      <c r="AA256">
        <v>6</v>
      </c>
      <c r="AB256" t="s">
        <v>46</v>
      </c>
      <c r="AC256" t="s">
        <v>47</v>
      </c>
      <c r="AD256" t="s">
        <v>805</v>
      </c>
      <c r="AE256" t="s">
        <v>806</v>
      </c>
    </row>
    <row r="257" spans="1:31" x14ac:dyDescent="0.2">
      <c r="A257" t="s">
        <v>31</v>
      </c>
      <c r="B257">
        <v>2012</v>
      </c>
      <c r="C257">
        <v>8</v>
      </c>
      <c r="D257" s="1">
        <v>41007</v>
      </c>
      <c r="E257" t="s">
        <v>807</v>
      </c>
      <c r="F257" t="s">
        <v>808</v>
      </c>
      <c r="G257" t="s">
        <v>619</v>
      </c>
      <c r="H257" t="s">
        <v>52</v>
      </c>
      <c r="I257" t="s">
        <v>619</v>
      </c>
      <c r="J257" t="s">
        <v>54</v>
      </c>
      <c r="K257">
        <v>166</v>
      </c>
      <c r="L257">
        <v>6</v>
      </c>
      <c r="M257">
        <v>144</v>
      </c>
      <c r="N257">
        <v>8</v>
      </c>
      <c r="O257" t="s">
        <v>619</v>
      </c>
      <c r="P257" t="s">
        <v>38</v>
      </c>
      <c r="Q257">
        <v>22</v>
      </c>
      <c r="R257">
        <v>0</v>
      </c>
      <c r="S257" t="s">
        <v>809</v>
      </c>
      <c r="T257" t="s">
        <v>790</v>
      </c>
      <c r="U257" t="s">
        <v>454</v>
      </c>
      <c r="V257" t="s">
        <v>286</v>
      </c>
      <c r="W257" t="s">
        <v>316</v>
      </c>
      <c r="X257" t="s">
        <v>275</v>
      </c>
      <c r="Y257" t="s">
        <v>45</v>
      </c>
      <c r="Z257">
        <v>20</v>
      </c>
      <c r="AA257">
        <v>6</v>
      </c>
      <c r="AB257" t="s">
        <v>46</v>
      </c>
      <c r="AC257" t="s">
        <v>47</v>
      </c>
      <c r="AD257" t="s">
        <v>810</v>
      </c>
      <c r="AE257" t="s">
        <v>811</v>
      </c>
    </row>
    <row r="258" spans="1:31" x14ac:dyDescent="0.2">
      <c r="A258" t="s">
        <v>31</v>
      </c>
      <c r="B258">
        <v>2012</v>
      </c>
      <c r="C258">
        <v>9</v>
      </c>
      <c r="D258" s="1">
        <v>41008</v>
      </c>
      <c r="E258" t="s">
        <v>800</v>
      </c>
      <c r="F258" t="s">
        <v>801</v>
      </c>
      <c r="G258" t="s">
        <v>77</v>
      </c>
      <c r="H258" t="s">
        <v>87</v>
      </c>
      <c r="I258" t="s">
        <v>77</v>
      </c>
      <c r="J258" t="s">
        <v>54</v>
      </c>
      <c r="K258">
        <v>138</v>
      </c>
      <c r="L258">
        <v>9</v>
      </c>
      <c r="M258">
        <v>142</v>
      </c>
      <c r="N258">
        <v>5</v>
      </c>
      <c r="O258" t="s">
        <v>87</v>
      </c>
      <c r="P258" t="s">
        <v>38</v>
      </c>
      <c r="Q258">
        <v>0</v>
      </c>
      <c r="R258">
        <v>5</v>
      </c>
      <c r="S258" t="s">
        <v>369</v>
      </c>
      <c r="T258" t="s">
        <v>681</v>
      </c>
      <c r="U258" t="s">
        <v>146</v>
      </c>
      <c r="V258" t="s">
        <v>329</v>
      </c>
      <c r="W258" t="s">
        <v>312</v>
      </c>
      <c r="X258" t="s">
        <v>626</v>
      </c>
      <c r="Y258" t="s">
        <v>45</v>
      </c>
      <c r="Z258">
        <v>20</v>
      </c>
      <c r="AA258">
        <v>6</v>
      </c>
      <c r="AB258" t="s">
        <v>46</v>
      </c>
      <c r="AC258" t="s">
        <v>47</v>
      </c>
      <c r="AD258" t="s">
        <v>812</v>
      </c>
      <c r="AE258" t="s">
        <v>813</v>
      </c>
    </row>
    <row r="259" spans="1:31" x14ac:dyDescent="0.2">
      <c r="A259" t="s">
        <v>31</v>
      </c>
      <c r="B259">
        <v>2012</v>
      </c>
      <c r="C259">
        <v>10</v>
      </c>
      <c r="D259" s="1">
        <v>41009</v>
      </c>
      <c r="E259" t="s">
        <v>33</v>
      </c>
      <c r="F259" t="s">
        <v>34</v>
      </c>
      <c r="G259" t="s">
        <v>35</v>
      </c>
      <c r="H259" t="s">
        <v>36</v>
      </c>
      <c r="I259" t="s">
        <v>35</v>
      </c>
      <c r="J259" t="s">
        <v>37</v>
      </c>
      <c r="K259">
        <v>123</v>
      </c>
      <c r="L259">
        <v>9</v>
      </c>
      <c r="M259">
        <v>165</v>
      </c>
      <c r="N259">
        <v>8</v>
      </c>
      <c r="O259" t="s">
        <v>36</v>
      </c>
      <c r="P259" t="s">
        <v>38</v>
      </c>
      <c r="Q259">
        <v>42</v>
      </c>
      <c r="R259">
        <v>0</v>
      </c>
      <c r="S259" t="s">
        <v>187</v>
      </c>
      <c r="T259" t="s">
        <v>614</v>
      </c>
      <c r="U259" t="s">
        <v>111</v>
      </c>
      <c r="V259" t="s">
        <v>656</v>
      </c>
      <c r="W259" t="s">
        <v>316</v>
      </c>
      <c r="X259" t="s">
        <v>476</v>
      </c>
      <c r="Y259" t="s">
        <v>45</v>
      </c>
      <c r="Z259">
        <v>20</v>
      </c>
      <c r="AA259">
        <v>6</v>
      </c>
      <c r="AB259" t="s">
        <v>46</v>
      </c>
      <c r="AC259" t="s">
        <v>47</v>
      </c>
      <c r="AD259" t="s">
        <v>814</v>
      </c>
      <c r="AE259" t="s">
        <v>815</v>
      </c>
    </row>
    <row r="260" spans="1:31" x14ac:dyDescent="0.2">
      <c r="A260" t="s">
        <v>31</v>
      </c>
      <c r="B260">
        <v>2012</v>
      </c>
      <c r="C260">
        <v>11</v>
      </c>
      <c r="D260" s="1">
        <v>41009</v>
      </c>
      <c r="E260" t="s">
        <v>63</v>
      </c>
      <c r="F260" t="s">
        <v>64</v>
      </c>
      <c r="G260" t="s">
        <v>65</v>
      </c>
      <c r="H260" t="s">
        <v>53</v>
      </c>
      <c r="I260" t="s">
        <v>65</v>
      </c>
      <c r="J260" t="s">
        <v>37</v>
      </c>
      <c r="K260">
        <v>111</v>
      </c>
      <c r="L260">
        <v>2</v>
      </c>
      <c r="M260">
        <v>110</v>
      </c>
      <c r="N260">
        <v>8</v>
      </c>
      <c r="O260" t="s">
        <v>65</v>
      </c>
      <c r="P260" t="s">
        <v>38</v>
      </c>
      <c r="Q260">
        <v>0</v>
      </c>
      <c r="R260">
        <v>8</v>
      </c>
      <c r="S260" t="s">
        <v>816</v>
      </c>
      <c r="T260" t="s">
        <v>783</v>
      </c>
      <c r="U260" t="s">
        <v>41</v>
      </c>
      <c r="V260" t="s">
        <v>124</v>
      </c>
      <c r="W260" t="s">
        <v>642</v>
      </c>
      <c r="X260" t="s">
        <v>460</v>
      </c>
      <c r="Y260" t="s">
        <v>45</v>
      </c>
      <c r="Z260">
        <v>20</v>
      </c>
      <c r="AA260">
        <v>6</v>
      </c>
      <c r="AB260" t="s">
        <v>46</v>
      </c>
      <c r="AC260" t="s">
        <v>47</v>
      </c>
      <c r="AD260" t="s">
        <v>817</v>
      </c>
      <c r="AE260" t="s">
        <v>818</v>
      </c>
    </row>
    <row r="261" spans="1:31" x14ac:dyDescent="0.2">
      <c r="A261" t="s">
        <v>31</v>
      </c>
      <c r="B261">
        <v>2012</v>
      </c>
      <c r="C261">
        <v>12</v>
      </c>
      <c r="D261" s="1">
        <v>41010</v>
      </c>
      <c r="E261" t="s">
        <v>85</v>
      </c>
      <c r="F261" t="s">
        <v>86</v>
      </c>
      <c r="G261" t="s">
        <v>87</v>
      </c>
      <c r="H261" t="s">
        <v>66</v>
      </c>
      <c r="I261" t="s">
        <v>66</v>
      </c>
      <c r="J261" t="s">
        <v>37</v>
      </c>
      <c r="K261">
        <v>197</v>
      </c>
      <c r="L261">
        <v>6</v>
      </c>
      <c r="M261">
        <v>170</v>
      </c>
      <c r="N261">
        <v>10</v>
      </c>
      <c r="O261" t="s">
        <v>87</v>
      </c>
      <c r="P261" t="s">
        <v>38</v>
      </c>
      <c r="Q261">
        <v>27</v>
      </c>
      <c r="R261">
        <v>0</v>
      </c>
      <c r="S261" t="s">
        <v>568</v>
      </c>
      <c r="T261" t="s">
        <v>40</v>
      </c>
      <c r="U261" t="s">
        <v>69</v>
      </c>
      <c r="V261" t="s">
        <v>819</v>
      </c>
      <c r="W261" t="s">
        <v>454</v>
      </c>
      <c r="X261" t="s">
        <v>791</v>
      </c>
      <c r="Y261" t="s">
        <v>45</v>
      </c>
      <c r="Z261">
        <v>20</v>
      </c>
      <c r="AA261">
        <v>6</v>
      </c>
      <c r="AB261" t="s">
        <v>46</v>
      </c>
      <c r="AC261" t="s">
        <v>47</v>
      </c>
      <c r="AD261" t="s">
        <v>820</v>
      </c>
      <c r="AE261" t="s">
        <v>821</v>
      </c>
    </row>
    <row r="262" spans="1:31" x14ac:dyDescent="0.2">
      <c r="A262" t="s">
        <v>31</v>
      </c>
      <c r="B262">
        <v>2012</v>
      </c>
      <c r="C262">
        <v>13</v>
      </c>
      <c r="D262" s="1">
        <v>41011</v>
      </c>
      <c r="E262" t="s">
        <v>108</v>
      </c>
      <c r="F262" t="s">
        <v>109</v>
      </c>
      <c r="G262" t="s">
        <v>53</v>
      </c>
      <c r="H262" t="s">
        <v>35</v>
      </c>
      <c r="I262" t="s">
        <v>35</v>
      </c>
      <c r="J262" t="s">
        <v>54</v>
      </c>
      <c r="K262">
        <v>208</v>
      </c>
      <c r="L262">
        <v>5</v>
      </c>
      <c r="M262">
        <v>205</v>
      </c>
      <c r="N262">
        <v>8</v>
      </c>
      <c r="O262" t="s">
        <v>53</v>
      </c>
      <c r="P262" t="s">
        <v>38</v>
      </c>
      <c r="Q262">
        <v>0</v>
      </c>
      <c r="R262">
        <v>5</v>
      </c>
      <c r="S262" t="s">
        <v>822</v>
      </c>
      <c r="T262" t="s">
        <v>614</v>
      </c>
      <c r="U262" t="s">
        <v>312</v>
      </c>
      <c r="V262" t="s">
        <v>656</v>
      </c>
      <c r="W262" t="s">
        <v>111</v>
      </c>
      <c r="X262" t="s">
        <v>605</v>
      </c>
      <c r="Y262" t="s">
        <v>45</v>
      </c>
      <c r="Z262">
        <v>20</v>
      </c>
      <c r="AA262">
        <v>6</v>
      </c>
      <c r="AB262" t="s">
        <v>46</v>
      </c>
      <c r="AC262" t="s">
        <v>47</v>
      </c>
      <c r="AD262" t="s">
        <v>823</v>
      </c>
      <c r="AE262" t="s">
        <v>824</v>
      </c>
    </row>
    <row r="263" spans="1:31" x14ac:dyDescent="0.2">
      <c r="A263" t="s">
        <v>31</v>
      </c>
      <c r="B263">
        <v>2012</v>
      </c>
      <c r="C263">
        <v>14</v>
      </c>
      <c r="D263" s="1">
        <v>41011</v>
      </c>
      <c r="E263" t="s">
        <v>50</v>
      </c>
      <c r="F263" t="s">
        <v>51</v>
      </c>
      <c r="G263" t="s">
        <v>52</v>
      </c>
      <c r="H263" t="s">
        <v>619</v>
      </c>
      <c r="I263" t="s">
        <v>52</v>
      </c>
      <c r="J263" t="s">
        <v>37</v>
      </c>
      <c r="K263">
        <v>116</v>
      </c>
      <c r="L263">
        <v>3</v>
      </c>
      <c r="M263">
        <v>115</v>
      </c>
      <c r="N263">
        <v>10</v>
      </c>
      <c r="O263" t="s">
        <v>52</v>
      </c>
      <c r="P263" t="s">
        <v>38</v>
      </c>
      <c r="Q263">
        <v>0</v>
      </c>
      <c r="R263">
        <v>7</v>
      </c>
      <c r="S263" t="s">
        <v>825</v>
      </c>
      <c r="T263" t="s">
        <v>783</v>
      </c>
      <c r="U263" t="s">
        <v>642</v>
      </c>
      <c r="V263" t="s">
        <v>124</v>
      </c>
      <c r="W263" t="s">
        <v>80</v>
      </c>
      <c r="X263" t="s">
        <v>826</v>
      </c>
      <c r="Y263" t="s">
        <v>45</v>
      </c>
      <c r="Z263">
        <v>20</v>
      </c>
      <c r="AA263">
        <v>6</v>
      </c>
      <c r="AB263" t="s">
        <v>46</v>
      </c>
      <c r="AC263" t="s">
        <v>47</v>
      </c>
      <c r="AD263" t="s">
        <v>827</v>
      </c>
      <c r="AE263" t="s">
        <v>828</v>
      </c>
    </row>
    <row r="264" spans="1:31" x14ac:dyDescent="0.2">
      <c r="A264" t="s">
        <v>31</v>
      </c>
      <c r="B264">
        <v>2012</v>
      </c>
      <c r="C264">
        <v>15</v>
      </c>
      <c r="D264" s="1">
        <v>41012</v>
      </c>
      <c r="E264" t="s">
        <v>75</v>
      </c>
      <c r="F264" t="s">
        <v>76</v>
      </c>
      <c r="G264" t="s">
        <v>36</v>
      </c>
      <c r="H264" t="s">
        <v>66</v>
      </c>
      <c r="I264" t="s">
        <v>66</v>
      </c>
      <c r="J264" t="s">
        <v>54</v>
      </c>
      <c r="K264">
        <v>137</v>
      </c>
      <c r="L264">
        <v>5</v>
      </c>
      <c r="M264">
        <v>131</v>
      </c>
      <c r="N264">
        <v>5</v>
      </c>
      <c r="O264" t="s">
        <v>36</v>
      </c>
      <c r="P264" t="s">
        <v>38</v>
      </c>
      <c r="Q264">
        <v>0</v>
      </c>
      <c r="R264">
        <v>5</v>
      </c>
      <c r="S264" t="s">
        <v>829</v>
      </c>
      <c r="T264" t="s">
        <v>681</v>
      </c>
      <c r="U264" t="s">
        <v>41</v>
      </c>
      <c r="V264" t="s">
        <v>316</v>
      </c>
      <c r="W264" t="s">
        <v>454</v>
      </c>
      <c r="X264" t="s">
        <v>786</v>
      </c>
      <c r="Y264" t="s">
        <v>45</v>
      </c>
      <c r="Z264">
        <v>20</v>
      </c>
      <c r="AA264">
        <v>6</v>
      </c>
      <c r="AB264" t="s">
        <v>46</v>
      </c>
      <c r="AC264" t="s">
        <v>47</v>
      </c>
      <c r="AD264" t="s">
        <v>830</v>
      </c>
      <c r="AE264" t="s">
        <v>831</v>
      </c>
    </row>
    <row r="265" spans="1:31" x14ac:dyDescent="0.2">
      <c r="A265" t="s">
        <v>31</v>
      </c>
      <c r="B265">
        <v>2012</v>
      </c>
      <c r="C265">
        <v>16</v>
      </c>
      <c r="D265" s="1">
        <v>41013</v>
      </c>
      <c r="E265" t="s">
        <v>807</v>
      </c>
      <c r="F265" t="s">
        <v>808</v>
      </c>
      <c r="G265" t="s">
        <v>619</v>
      </c>
      <c r="H265" t="s">
        <v>53</v>
      </c>
      <c r="I265" t="s">
        <v>53</v>
      </c>
      <c r="J265" t="s">
        <v>54</v>
      </c>
      <c r="K265">
        <v>156</v>
      </c>
      <c r="L265">
        <v>3</v>
      </c>
      <c r="M265">
        <v>155</v>
      </c>
      <c r="N265">
        <v>5</v>
      </c>
      <c r="O265" t="s">
        <v>619</v>
      </c>
      <c r="P265" t="s">
        <v>38</v>
      </c>
      <c r="Q265">
        <v>0</v>
      </c>
      <c r="R265">
        <v>7</v>
      </c>
      <c r="S265" t="s">
        <v>832</v>
      </c>
      <c r="T265" t="s">
        <v>790</v>
      </c>
      <c r="U265" t="s">
        <v>69</v>
      </c>
      <c r="V265" t="s">
        <v>819</v>
      </c>
      <c r="W265" t="s">
        <v>146</v>
      </c>
      <c r="X265" t="s">
        <v>275</v>
      </c>
      <c r="Y265" t="s">
        <v>45</v>
      </c>
      <c r="Z265">
        <v>20</v>
      </c>
      <c r="AA265">
        <v>6</v>
      </c>
      <c r="AB265" t="s">
        <v>46</v>
      </c>
      <c r="AC265" t="s">
        <v>47</v>
      </c>
      <c r="AD265" t="s">
        <v>833</v>
      </c>
      <c r="AE265" t="s">
        <v>834</v>
      </c>
    </row>
    <row r="266" spans="1:31" x14ac:dyDescent="0.2">
      <c r="A266" t="s">
        <v>31</v>
      </c>
      <c r="B266">
        <v>2012</v>
      </c>
      <c r="C266">
        <v>17</v>
      </c>
      <c r="D266" s="1">
        <v>41014</v>
      </c>
      <c r="E266" t="s">
        <v>75</v>
      </c>
      <c r="F266" t="s">
        <v>76</v>
      </c>
      <c r="G266" t="s">
        <v>36</v>
      </c>
      <c r="H266" t="s">
        <v>52</v>
      </c>
      <c r="I266" t="s">
        <v>36</v>
      </c>
      <c r="J266" t="s">
        <v>37</v>
      </c>
      <c r="K266">
        <v>132</v>
      </c>
      <c r="L266">
        <v>7</v>
      </c>
      <c r="M266">
        <v>134</v>
      </c>
      <c r="N266">
        <v>9</v>
      </c>
      <c r="O266" t="s">
        <v>52</v>
      </c>
      <c r="P266" t="s">
        <v>38</v>
      </c>
      <c r="Q266">
        <v>2</v>
      </c>
      <c r="R266">
        <v>0</v>
      </c>
      <c r="S266" t="s">
        <v>835</v>
      </c>
      <c r="T266" t="s">
        <v>681</v>
      </c>
      <c r="U266" t="s">
        <v>41</v>
      </c>
      <c r="V266" t="s">
        <v>316</v>
      </c>
      <c r="W266" t="s">
        <v>454</v>
      </c>
      <c r="X266" t="s">
        <v>786</v>
      </c>
      <c r="Y266" t="s">
        <v>45</v>
      </c>
      <c r="Z266">
        <v>20</v>
      </c>
      <c r="AA266">
        <v>6</v>
      </c>
      <c r="AB266" t="s">
        <v>46</v>
      </c>
      <c r="AC266" t="s">
        <v>47</v>
      </c>
      <c r="AD266" t="s">
        <v>836</v>
      </c>
      <c r="AE266" t="s">
        <v>837</v>
      </c>
    </row>
    <row r="267" spans="1:31" x14ac:dyDescent="0.2">
      <c r="A267" t="s">
        <v>31</v>
      </c>
      <c r="B267">
        <v>2012</v>
      </c>
      <c r="C267">
        <v>18</v>
      </c>
      <c r="D267" s="1">
        <v>41014</v>
      </c>
      <c r="E267" t="s">
        <v>33</v>
      </c>
      <c r="F267" t="s">
        <v>34</v>
      </c>
      <c r="G267" t="s">
        <v>35</v>
      </c>
      <c r="H267" t="s">
        <v>66</v>
      </c>
      <c r="I267" t="s">
        <v>66</v>
      </c>
      <c r="J267" t="s">
        <v>54</v>
      </c>
      <c r="K267">
        <v>136</v>
      </c>
      <c r="L267">
        <v>10</v>
      </c>
      <c r="M267">
        <v>195</v>
      </c>
      <c r="N267">
        <v>2</v>
      </c>
      <c r="O267" t="s">
        <v>66</v>
      </c>
      <c r="P267" t="s">
        <v>38</v>
      </c>
      <c r="Q267">
        <v>59</v>
      </c>
      <c r="R267">
        <v>0</v>
      </c>
      <c r="S267" t="s">
        <v>794</v>
      </c>
      <c r="T267" t="s">
        <v>614</v>
      </c>
      <c r="U267" t="s">
        <v>329</v>
      </c>
      <c r="V267" t="s">
        <v>656</v>
      </c>
      <c r="W267" t="s">
        <v>111</v>
      </c>
      <c r="X267" t="s">
        <v>476</v>
      </c>
      <c r="Y267" t="s">
        <v>45</v>
      </c>
      <c r="Z267">
        <v>20</v>
      </c>
      <c r="AA267">
        <v>6</v>
      </c>
      <c r="AB267" t="s">
        <v>46</v>
      </c>
      <c r="AC267" t="s">
        <v>47</v>
      </c>
      <c r="AD267" t="s">
        <v>838</v>
      </c>
      <c r="AE267" t="s">
        <v>839</v>
      </c>
    </row>
    <row r="268" spans="1:31" x14ac:dyDescent="0.2">
      <c r="A268" t="s">
        <v>31</v>
      </c>
      <c r="B268">
        <v>2012</v>
      </c>
      <c r="C268">
        <v>19</v>
      </c>
      <c r="D268" s="1">
        <v>41015</v>
      </c>
      <c r="E268" t="s">
        <v>85</v>
      </c>
      <c r="F268" t="s">
        <v>86</v>
      </c>
      <c r="G268" t="s">
        <v>87</v>
      </c>
      <c r="H268" t="s">
        <v>65</v>
      </c>
      <c r="I268" t="s">
        <v>65</v>
      </c>
      <c r="J268" t="s">
        <v>37</v>
      </c>
      <c r="K268">
        <v>92</v>
      </c>
      <c r="L268">
        <v>10</v>
      </c>
      <c r="M268">
        <v>93</v>
      </c>
      <c r="N268">
        <v>3</v>
      </c>
      <c r="O268" t="s">
        <v>65</v>
      </c>
      <c r="P268" t="s">
        <v>38</v>
      </c>
      <c r="Q268">
        <v>0</v>
      </c>
      <c r="R268">
        <v>7</v>
      </c>
      <c r="S268" t="s">
        <v>840</v>
      </c>
      <c r="T268" t="s">
        <v>783</v>
      </c>
      <c r="U268" t="s">
        <v>80</v>
      </c>
      <c r="V268" t="s">
        <v>124</v>
      </c>
      <c r="W268" t="s">
        <v>642</v>
      </c>
      <c r="X268" t="s">
        <v>791</v>
      </c>
      <c r="Y268" t="s">
        <v>45</v>
      </c>
      <c r="Z268">
        <v>20</v>
      </c>
      <c r="AA268">
        <v>6</v>
      </c>
      <c r="AB268" t="s">
        <v>46</v>
      </c>
      <c r="AC268" t="s">
        <v>47</v>
      </c>
      <c r="AD268" t="s">
        <v>841</v>
      </c>
      <c r="AE268" t="s">
        <v>842</v>
      </c>
    </row>
    <row r="269" spans="1:31" x14ac:dyDescent="0.2">
      <c r="A269" t="s">
        <v>31</v>
      </c>
      <c r="B269">
        <v>2012</v>
      </c>
      <c r="C269">
        <v>20</v>
      </c>
      <c r="D269" s="1">
        <v>41016</v>
      </c>
      <c r="E269" t="s">
        <v>95</v>
      </c>
      <c r="F269" t="s">
        <v>96</v>
      </c>
      <c r="G269" t="s">
        <v>66</v>
      </c>
      <c r="H269" t="s">
        <v>77</v>
      </c>
      <c r="I269" t="s">
        <v>77</v>
      </c>
      <c r="J269" t="s">
        <v>54</v>
      </c>
      <c r="K269">
        <v>197</v>
      </c>
      <c r="L269">
        <v>5</v>
      </c>
      <c r="M269">
        <v>196</v>
      </c>
      <c r="N269">
        <v>2</v>
      </c>
      <c r="O269" t="s">
        <v>66</v>
      </c>
      <c r="P269" t="s">
        <v>38</v>
      </c>
      <c r="Q269">
        <v>0</v>
      </c>
      <c r="R269">
        <v>5</v>
      </c>
      <c r="S269" t="s">
        <v>418</v>
      </c>
      <c r="T269" t="s">
        <v>790</v>
      </c>
      <c r="U269" t="s">
        <v>69</v>
      </c>
      <c r="V269" t="s">
        <v>819</v>
      </c>
      <c r="W269" t="s">
        <v>146</v>
      </c>
      <c r="X269" t="s">
        <v>795</v>
      </c>
      <c r="Y269" t="s">
        <v>45</v>
      </c>
      <c r="Z269">
        <v>20</v>
      </c>
      <c r="AA269">
        <v>6</v>
      </c>
      <c r="AB269" t="s">
        <v>46</v>
      </c>
      <c r="AC269" t="s">
        <v>47</v>
      </c>
      <c r="AD269" t="s">
        <v>843</v>
      </c>
      <c r="AE269" t="s">
        <v>844</v>
      </c>
    </row>
    <row r="270" spans="1:31" x14ac:dyDescent="0.2">
      <c r="A270" t="s">
        <v>31</v>
      </c>
      <c r="B270">
        <v>2012</v>
      </c>
      <c r="C270">
        <v>21</v>
      </c>
      <c r="D270" s="1">
        <v>41016</v>
      </c>
      <c r="E270" t="s">
        <v>33</v>
      </c>
      <c r="F270" t="s">
        <v>34</v>
      </c>
      <c r="G270" t="s">
        <v>35</v>
      </c>
      <c r="H270" t="s">
        <v>619</v>
      </c>
      <c r="I270" t="s">
        <v>619</v>
      </c>
      <c r="J270" t="s">
        <v>54</v>
      </c>
      <c r="K270">
        <v>186</v>
      </c>
      <c r="L270">
        <v>4</v>
      </c>
      <c r="M270">
        <v>182</v>
      </c>
      <c r="N270">
        <v>6</v>
      </c>
      <c r="O270" t="s">
        <v>35</v>
      </c>
      <c r="P270" t="s">
        <v>38</v>
      </c>
      <c r="Q270">
        <v>0</v>
      </c>
      <c r="R270">
        <v>6</v>
      </c>
      <c r="S270" t="s">
        <v>292</v>
      </c>
      <c r="T270" t="s">
        <v>681</v>
      </c>
      <c r="U270" t="s">
        <v>316</v>
      </c>
      <c r="V270" t="s">
        <v>454</v>
      </c>
      <c r="W270" t="s">
        <v>41</v>
      </c>
      <c r="X270" t="s">
        <v>476</v>
      </c>
      <c r="Y270" t="s">
        <v>45</v>
      </c>
      <c r="Z270">
        <v>20</v>
      </c>
      <c r="AA270">
        <v>6</v>
      </c>
      <c r="AB270" t="s">
        <v>46</v>
      </c>
      <c r="AC270" t="s">
        <v>47</v>
      </c>
      <c r="AD270" t="s">
        <v>845</v>
      </c>
      <c r="AE270" t="s">
        <v>846</v>
      </c>
    </row>
    <row r="271" spans="1:31" x14ac:dyDescent="0.2">
      <c r="A271" t="s">
        <v>31</v>
      </c>
      <c r="B271">
        <v>2012</v>
      </c>
      <c r="C271">
        <v>22</v>
      </c>
      <c r="D271" s="1">
        <v>41017</v>
      </c>
      <c r="E271" t="s">
        <v>50</v>
      </c>
      <c r="F271" t="s">
        <v>51</v>
      </c>
      <c r="G271" t="s">
        <v>52</v>
      </c>
      <c r="H271" t="s">
        <v>36</v>
      </c>
      <c r="I271" t="s">
        <v>52</v>
      </c>
      <c r="J271" t="s">
        <v>54</v>
      </c>
      <c r="K271">
        <v>124</v>
      </c>
      <c r="L271">
        <v>7</v>
      </c>
      <c r="M271">
        <v>127</v>
      </c>
      <c r="N271">
        <v>2</v>
      </c>
      <c r="O271" t="s">
        <v>36</v>
      </c>
      <c r="P271" t="s">
        <v>38</v>
      </c>
      <c r="Q271">
        <v>0</v>
      </c>
      <c r="R271">
        <v>8</v>
      </c>
      <c r="S271" t="s">
        <v>366</v>
      </c>
      <c r="T271" t="s">
        <v>502</v>
      </c>
      <c r="U271" t="s">
        <v>329</v>
      </c>
      <c r="V271" t="s">
        <v>656</v>
      </c>
      <c r="W271" t="s">
        <v>111</v>
      </c>
      <c r="X271" t="s">
        <v>826</v>
      </c>
      <c r="Y271" t="s">
        <v>45</v>
      </c>
      <c r="Z271">
        <v>20</v>
      </c>
      <c r="AA271">
        <v>6</v>
      </c>
      <c r="AB271" t="s">
        <v>46</v>
      </c>
      <c r="AC271" t="s">
        <v>47</v>
      </c>
      <c r="AD271" t="s">
        <v>847</v>
      </c>
      <c r="AE271" t="s">
        <v>848</v>
      </c>
    </row>
    <row r="272" spans="1:31" x14ac:dyDescent="0.2">
      <c r="A272" t="s">
        <v>31</v>
      </c>
      <c r="B272">
        <v>2012</v>
      </c>
      <c r="C272">
        <v>23</v>
      </c>
      <c r="D272" s="1">
        <v>41018</v>
      </c>
      <c r="E272" t="s">
        <v>63</v>
      </c>
      <c r="F272" t="s">
        <v>64</v>
      </c>
      <c r="G272" t="s">
        <v>65</v>
      </c>
      <c r="H272" t="s">
        <v>77</v>
      </c>
      <c r="I272" t="s">
        <v>77</v>
      </c>
      <c r="J272" t="s">
        <v>54</v>
      </c>
      <c r="K272">
        <v>162</v>
      </c>
      <c r="L272">
        <v>5</v>
      </c>
      <c r="M272">
        <v>157</v>
      </c>
      <c r="N272">
        <v>8</v>
      </c>
      <c r="O272" t="s">
        <v>65</v>
      </c>
      <c r="P272" t="s">
        <v>38</v>
      </c>
      <c r="Q272">
        <v>0</v>
      </c>
      <c r="R272">
        <v>5</v>
      </c>
      <c r="S272" t="s">
        <v>525</v>
      </c>
      <c r="T272" t="s">
        <v>783</v>
      </c>
      <c r="U272" t="s">
        <v>80</v>
      </c>
      <c r="V272" t="s">
        <v>124</v>
      </c>
      <c r="W272" t="s">
        <v>642</v>
      </c>
      <c r="X272" t="s">
        <v>460</v>
      </c>
      <c r="Y272" t="s">
        <v>45</v>
      </c>
      <c r="Z272">
        <v>20</v>
      </c>
      <c r="AA272">
        <v>6</v>
      </c>
      <c r="AB272" t="s">
        <v>46</v>
      </c>
      <c r="AC272" t="s">
        <v>47</v>
      </c>
      <c r="AD272" t="s">
        <v>842</v>
      </c>
      <c r="AE272" t="s">
        <v>849</v>
      </c>
    </row>
    <row r="273" spans="1:31" x14ac:dyDescent="0.2">
      <c r="A273" t="s">
        <v>31</v>
      </c>
      <c r="B273">
        <v>2012</v>
      </c>
      <c r="C273">
        <v>24</v>
      </c>
      <c r="D273" s="1">
        <v>41018</v>
      </c>
      <c r="E273" t="s">
        <v>108</v>
      </c>
      <c r="F273" t="s">
        <v>109</v>
      </c>
      <c r="G273" t="s">
        <v>53</v>
      </c>
      <c r="H273" t="s">
        <v>619</v>
      </c>
      <c r="I273" t="s">
        <v>619</v>
      </c>
      <c r="J273" t="s">
        <v>37</v>
      </c>
      <c r="K273">
        <v>164</v>
      </c>
      <c r="L273">
        <v>5</v>
      </c>
      <c r="M273">
        <v>151</v>
      </c>
      <c r="N273">
        <v>7</v>
      </c>
      <c r="O273" t="s">
        <v>53</v>
      </c>
      <c r="P273" t="s">
        <v>38</v>
      </c>
      <c r="Q273">
        <v>13</v>
      </c>
      <c r="R273">
        <v>0</v>
      </c>
      <c r="S273" t="s">
        <v>850</v>
      </c>
      <c r="T273" t="s">
        <v>681</v>
      </c>
      <c r="U273" t="s">
        <v>41</v>
      </c>
      <c r="V273" t="s">
        <v>454</v>
      </c>
      <c r="W273" t="s">
        <v>316</v>
      </c>
      <c r="X273" t="s">
        <v>605</v>
      </c>
      <c r="Y273" t="s">
        <v>45</v>
      </c>
      <c r="Z273">
        <v>20</v>
      </c>
      <c r="AA273">
        <v>6</v>
      </c>
      <c r="AB273" t="s">
        <v>46</v>
      </c>
      <c r="AC273" t="s">
        <v>47</v>
      </c>
      <c r="AD273" t="s">
        <v>851</v>
      </c>
      <c r="AE273" t="s">
        <v>852</v>
      </c>
    </row>
    <row r="274" spans="1:31" x14ac:dyDescent="0.2">
      <c r="A274" t="s">
        <v>31</v>
      </c>
      <c r="B274">
        <v>2012</v>
      </c>
      <c r="C274">
        <v>25</v>
      </c>
      <c r="D274" s="1">
        <v>41019</v>
      </c>
      <c r="E274" t="s">
        <v>50</v>
      </c>
      <c r="F274" t="s">
        <v>51</v>
      </c>
      <c r="G274" t="s">
        <v>52</v>
      </c>
      <c r="H274" t="s">
        <v>35</v>
      </c>
      <c r="I274" t="s">
        <v>35</v>
      </c>
      <c r="J274" t="s">
        <v>37</v>
      </c>
      <c r="K274">
        <v>163</v>
      </c>
      <c r="L274">
        <v>6</v>
      </c>
      <c r="M274">
        <v>166</v>
      </c>
      <c r="N274">
        <v>5</v>
      </c>
      <c r="O274" t="s">
        <v>35</v>
      </c>
      <c r="P274" t="s">
        <v>38</v>
      </c>
      <c r="Q274">
        <v>0</v>
      </c>
      <c r="R274">
        <v>5</v>
      </c>
      <c r="S274" t="s">
        <v>292</v>
      </c>
      <c r="T274" t="s">
        <v>502</v>
      </c>
      <c r="U274" t="s">
        <v>111</v>
      </c>
      <c r="V274" t="s">
        <v>656</v>
      </c>
      <c r="W274" t="s">
        <v>329</v>
      </c>
      <c r="X274" t="s">
        <v>826</v>
      </c>
      <c r="Y274" t="s">
        <v>45</v>
      </c>
      <c r="Z274">
        <v>20</v>
      </c>
      <c r="AA274">
        <v>6</v>
      </c>
      <c r="AB274" t="s">
        <v>46</v>
      </c>
      <c r="AC274" t="s">
        <v>47</v>
      </c>
      <c r="AD274" t="s">
        <v>853</v>
      </c>
      <c r="AE274" t="s">
        <v>854</v>
      </c>
    </row>
    <row r="275" spans="1:31" x14ac:dyDescent="0.2">
      <c r="A275" t="s">
        <v>31</v>
      </c>
      <c r="B275">
        <v>2012</v>
      </c>
      <c r="C275">
        <v>26</v>
      </c>
      <c r="D275" s="1">
        <v>41020</v>
      </c>
      <c r="E275" t="s">
        <v>108</v>
      </c>
      <c r="F275" t="s">
        <v>109</v>
      </c>
      <c r="G275" t="s">
        <v>53</v>
      </c>
      <c r="H275" t="s">
        <v>66</v>
      </c>
      <c r="I275" t="s">
        <v>66</v>
      </c>
      <c r="J275" t="s">
        <v>54</v>
      </c>
      <c r="K275">
        <v>147</v>
      </c>
      <c r="L275">
        <v>3</v>
      </c>
      <c r="M275">
        <v>146</v>
      </c>
      <c r="N275">
        <v>4</v>
      </c>
      <c r="O275" t="s">
        <v>53</v>
      </c>
      <c r="P275" t="s">
        <v>38</v>
      </c>
      <c r="Q275">
        <v>0</v>
      </c>
      <c r="R275">
        <v>7</v>
      </c>
      <c r="S275" t="s">
        <v>822</v>
      </c>
      <c r="T275" t="s">
        <v>40</v>
      </c>
      <c r="U275" t="s">
        <v>69</v>
      </c>
      <c r="V275" t="s">
        <v>819</v>
      </c>
      <c r="W275" t="s">
        <v>146</v>
      </c>
      <c r="X275" t="s">
        <v>605</v>
      </c>
      <c r="Y275" t="s">
        <v>45</v>
      </c>
      <c r="Z275">
        <v>20</v>
      </c>
      <c r="AA275">
        <v>6</v>
      </c>
      <c r="AB275" t="s">
        <v>46</v>
      </c>
      <c r="AC275" t="s">
        <v>47</v>
      </c>
      <c r="AD275" t="s">
        <v>855</v>
      </c>
      <c r="AE275" t="s">
        <v>856</v>
      </c>
    </row>
    <row r="276" spans="1:31" x14ac:dyDescent="0.2">
      <c r="A276" t="s">
        <v>31</v>
      </c>
      <c r="B276">
        <v>2012</v>
      </c>
      <c r="C276">
        <v>27</v>
      </c>
      <c r="D276" s="1">
        <v>41020</v>
      </c>
      <c r="E276" t="s">
        <v>63</v>
      </c>
      <c r="F276" t="s">
        <v>64</v>
      </c>
      <c r="G276" t="s">
        <v>65</v>
      </c>
      <c r="H276" t="s">
        <v>619</v>
      </c>
      <c r="I276" t="s">
        <v>65</v>
      </c>
      <c r="J276" t="s">
        <v>37</v>
      </c>
      <c r="K276">
        <v>172</v>
      </c>
      <c r="L276">
        <v>7</v>
      </c>
      <c r="M276">
        <v>192</v>
      </c>
      <c r="N276">
        <v>3</v>
      </c>
      <c r="O276" t="s">
        <v>619</v>
      </c>
      <c r="P276" t="s">
        <v>38</v>
      </c>
      <c r="Q276">
        <v>20</v>
      </c>
      <c r="R276">
        <v>0</v>
      </c>
      <c r="S276" t="s">
        <v>182</v>
      </c>
      <c r="T276" t="s">
        <v>681</v>
      </c>
      <c r="U276" t="s">
        <v>41</v>
      </c>
      <c r="V276" t="s">
        <v>454</v>
      </c>
      <c r="W276" t="s">
        <v>316</v>
      </c>
      <c r="X276" t="s">
        <v>460</v>
      </c>
      <c r="Y276" t="s">
        <v>45</v>
      </c>
      <c r="Z276">
        <v>20</v>
      </c>
      <c r="AA276">
        <v>6</v>
      </c>
      <c r="AB276" t="s">
        <v>46</v>
      </c>
      <c r="AC276" t="s">
        <v>47</v>
      </c>
      <c r="AD276" t="s">
        <v>857</v>
      </c>
      <c r="AE276" t="s">
        <v>858</v>
      </c>
    </row>
    <row r="277" spans="1:31" x14ac:dyDescent="0.2">
      <c r="A277" t="s">
        <v>31</v>
      </c>
      <c r="B277">
        <v>2012</v>
      </c>
      <c r="C277">
        <v>28</v>
      </c>
      <c r="D277" s="1">
        <v>41021</v>
      </c>
      <c r="E277" t="s">
        <v>85</v>
      </c>
      <c r="F277" t="s">
        <v>86</v>
      </c>
      <c r="G277" t="s">
        <v>87</v>
      </c>
      <c r="H277" t="s">
        <v>52</v>
      </c>
      <c r="I277" t="s">
        <v>87</v>
      </c>
      <c r="J277" t="s">
        <v>54</v>
      </c>
      <c r="K277">
        <v>163</v>
      </c>
      <c r="L277">
        <v>6</v>
      </c>
      <c r="M277">
        <v>164</v>
      </c>
      <c r="N277">
        <v>4</v>
      </c>
      <c r="O277" t="s">
        <v>52</v>
      </c>
      <c r="P277" t="s">
        <v>38</v>
      </c>
      <c r="Q277">
        <v>0</v>
      </c>
      <c r="R277">
        <v>6</v>
      </c>
      <c r="S277" t="s">
        <v>152</v>
      </c>
      <c r="T277" t="s">
        <v>614</v>
      </c>
      <c r="U277" t="s">
        <v>111</v>
      </c>
      <c r="V277" t="s">
        <v>656</v>
      </c>
      <c r="W277" t="s">
        <v>329</v>
      </c>
      <c r="X277" t="s">
        <v>791</v>
      </c>
      <c r="Y277" t="s">
        <v>45</v>
      </c>
      <c r="Z277">
        <v>20</v>
      </c>
      <c r="AA277">
        <v>6</v>
      </c>
      <c r="AB277" t="s">
        <v>46</v>
      </c>
      <c r="AC277" t="s">
        <v>47</v>
      </c>
      <c r="AD277" t="s">
        <v>859</v>
      </c>
      <c r="AE277" t="s">
        <v>860</v>
      </c>
    </row>
    <row r="278" spans="1:31" x14ac:dyDescent="0.2">
      <c r="A278" t="s">
        <v>31</v>
      </c>
      <c r="B278">
        <v>2012</v>
      </c>
      <c r="C278">
        <v>29</v>
      </c>
      <c r="D278" s="1">
        <v>41021</v>
      </c>
      <c r="E278" t="s">
        <v>473</v>
      </c>
      <c r="F278" t="s">
        <v>474</v>
      </c>
      <c r="G278" t="s">
        <v>77</v>
      </c>
      <c r="H278" t="s">
        <v>36</v>
      </c>
      <c r="I278" t="s">
        <v>36</v>
      </c>
      <c r="J278" t="s">
        <v>37</v>
      </c>
      <c r="K278">
        <v>126</v>
      </c>
      <c r="L278">
        <v>7</v>
      </c>
      <c r="M278">
        <v>127</v>
      </c>
      <c r="N278">
        <v>5</v>
      </c>
      <c r="O278" t="s">
        <v>36</v>
      </c>
      <c r="P278" t="s">
        <v>38</v>
      </c>
      <c r="Q278">
        <v>0</v>
      </c>
      <c r="R278">
        <v>5</v>
      </c>
      <c r="S278" t="s">
        <v>407</v>
      </c>
      <c r="T278" t="s">
        <v>502</v>
      </c>
      <c r="U278" t="s">
        <v>80</v>
      </c>
      <c r="V278" t="s">
        <v>124</v>
      </c>
      <c r="W278" t="s">
        <v>642</v>
      </c>
      <c r="X278" t="s">
        <v>626</v>
      </c>
      <c r="Y278" t="s">
        <v>45</v>
      </c>
      <c r="Z278">
        <v>20</v>
      </c>
      <c r="AA278">
        <v>6</v>
      </c>
      <c r="AB278" t="s">
        <v>46</v>
      </c>
      <c r="AC278" t="s">
        <v>47</v>
      </c>
      <c r="AD278" t="s">
        <v>861</v>
      </c>
      <c r="AE278" t="s">
        <v>862</v>
      </c>
    </row>
    <row r="279" spans="1:31" x14ac:dyDescent="0.2">
      <c r="A279" t="s">
        <v>31</v>
      </c>
      <c r="B279">
        <v>2012</v>
      </c>
      <c r="C279">
        <v>30</v>
      </c>
      <c r="D279" s="1">
        <v>41022</v>
      </c>
      <c r="E279" t="s">
        <v>95</v>
      </c>
      <c r="F279" t="s">
        <v>96</v>
      </c>
      <c r="G279" t="s">
        <v>66</v>
      </c>
      <c r="H279" t="s">
        <v>35</v>
      </c>
      <c r="I279" t="s">
        <v>66</v>
      </c>
      <c r="J279" t="s">
        <v>37</v>
      </c>
      <c r="K279">
        <v>143</v>
      </c>
      <c r="L279">
        <v>7</v>
      </c>
      <c r="M279">
        <v>189</v>
      </c>
      <c r="N279">
        <v>3</v>
      </c>
      <c r="O279" t="s">
        <v>35</v>
      </c>
      <c r="P279" t="s">
        <v>38</v>
      </c>
      <c r="Q279">
        <v>46</v>
      </c>
      <c r="R279">
        <v>0</v>
      </c>
      <c r="S279" t="s">
        <v>300</v>
      </c>
      <c r="T279" t="s">
        <v>783</v>
      </c>
      <c r="U279" t="s">
        <v>41</v>
      </c>
      <c r="V279" t="s">
        <v>316</v>
      </c>
      <c r="W279" t="s">
        <v>454</v>
      </c>
      <c r="X279" t="s">
        <v>795</v>
      </c>
      <c r="Y279" t="s">
        <v>45</v>
      </c>
      <c r="Z279">
        <v>20</v>
      </c>
      <c r="AA279">
        <v>6</v>
      </c>
      <c r="AB279" t="s">
        <v>46</v>
      </c>
      <c r="AC279" t="s">
        <v>47</v>
      </c>
      <c r="AD279" t="s">
        <v>863</v>
      </c>
      <c r="AE279" t="s">
        <v>864</v>
      </c>
    </row>
    <row r="280" spans="1:31" x14ac:dyDescent="0.2">
      <c r="A280" t="s">
        <v>31</v>
      </c>
      <c r="B280">
        <v>2012</v>
      </c>
      <c r="C280">
        <v>31</v>
      </c>
      <c r="D280" s="1">
        <v>41023</v>
      </c>
      <c r="E280" t="s">
        <v>807</v>
      </c>
      <c r="F280" t="s">
        <v>808</v>
      </c>
      <c r="G280" t="s">
        <v>619</v>
      </c>
      <c r="H280" t="s">
        <v>65</v>
      </c>
      <c r="I280" t="s">
        <v>619</v>
      </c>
      <c r="J280" t="s">
        <v>54</v>
      </c>
      <c r="K280">
        <v>146</v>
      </c>
      <c r="L280">
        <v>2</v>
      </c>
      <c r="M280">
        <v>148</v>
      </c>
      <c r="N280">
        <v>2</v>
      </c>
      <c r="O280" t="s">
        <v>65</v>
      </c>
      <c r="P280" t="s">
        <v>38</v>
      </c>
      <c r="Q280">
        <v>0</v>
      </c>
      <c r="R280">
        <v>8</v>
      </c>
      <c r="S280" t="s">
        <v>103</v>
      </c>
      <c r="T280" t="s">
        <v>614</v>
      </c>
      <c r="U280" t="s">
        <v>111</v>
      </c>
      <c r="V280" t="s">
        <v>656</v>
      </c>
      <c r="W280" t="s">
        <v>329</v>
      </c>
      <c r="X280" t="s">
        <v>275</v>
      </c>
      <c r="Y280" t="s">
        <v>45</v>
      </c>
      <c r="Z280">
        <v>20</v>
      </c>
      <c r="AA280">
        <v>6</v>
      </c>
      <c r="AB280" t="s">
        <v>46</v>
      </c>
      <c r="AC280" t="s">
        <v>47</v>
      </c>
      <c r="AD280" t="s">
        <v>865</v>
      </c>
      <c r="AE280" t="s">
        <v>866</v>
      </c>
    </row>
    <row r="281" spans="1:31" x14ac:dyDescent="0.2">
      <c r="A281" t="s">
        <v>31</v>
      </c>
      <c r="B281">
        <v>2012</v>
      </c>
      <c r="C281">
        <v>33</v>
      </c>
      <c r="D281" s="1">
        <v>41024</v>
      </c>
      <c r="E281" t="s">
        <v>50</v>
      </c>
      <c r="F281" t="s">
        <v>51</v>
      </c>
      <c r="G281" t="s">
        <v>52</v>
      </c>
      <c r="H281" t="s">
        <v>87</v>
      </c>
      <c r="I281" t="s">
        <v>52</v>
      </c>
      <c r="J281" t="s">
        <v>54</v>
      </c>
      <c r="K281">
        <v>168</v>
      </c>
      <c r="L281">
        <v>3</v>
      </c>
      <c r="M281">
        <v>171</v>
      </c>
      <c r="N281">
        <v>6</v>
      </c>
      <c r="O281" t="s">
        <v>87</v>
      </c>
      <c r="P281" t="s">
        <v>38</v>
      </c>
      <c r="Q281">
        <v>0</v>
      </c>
      <c r="R281">
        <v>4</v>
      </c>
      <c r="S281" t="s">
        <v>530</v>
      </c>
      <c r="T281" t="s">
        <v>502</v>
      </c>
      <c r="U281" t="s">
        <v>69</v>
      </c>
      <c r="V281" t="s">
        <v>819</v>
      </c>
      <c r="W281" t="s">
        <v>146</v>
      </c>
      <c r="X281" t="s">
        <v>826</v>
      </c>
      <c r="Y281" t="s">
        <v>45</v>
      </c>
      <c r="Z281">
        <v>20</v>
      </c>
      <c r="AA281">
        <v>6</v>
      </c>
      <c r="AB281" t="s">
        <v>46</v>
      </c>
      <c r="AC281" t="s">
        <v>47</v>
      </c>
      <c r="AD281" t="s">
        <v>867</v>
      </c>
      <c r="AE281" t="s">
        <v>868</v>
      </c>
    </row>
    <row r="282" spans="1:31" x14ac:dyDescent="0.2">
      <c r="A282" t="s">
        <v>31</v>
      </c>
      <c r="B282">
        <v>2012</v>
      </c>
      <c r="C282">
        <v>35</v>
      </c>
      <c r="D282" s="1">
        <v>41025</v>
      </c>
      <c r="E282" t="s">
        <v>807</v>
      </c>
      <c r="F282" t="s">
        <v>808</v>
      </c>
      <c r="G282" t="s">
        <v>619</v>
      </c>
      <c r="H282" t="s">
        <v>77</v>
      </c>
      <c r="I282" t="s">
        <v>77</v>
      </c>
      <c r="J282" t="s">
        <v>54</v>
      </c>
      <c r="K282">
        <v>159</v>
      </c>
      <c r="L282">
        <v>7</v>
      </c>
      <c r="M282">
        <v>177</v>
      </c>
      <c r="N282">
        <v>4</v>
      </c>
      <c r="O282" t="s">
        <v>77</v>
      </c>
      <c r="P282" t="s">
        <v>38</v>
      </c>
      <c r="Q282">
        <v>18</v>
      </c>
      <c r="R282">
        <v>0</v>
      </c>
      <c r="S282" t="s">
        <v>869</v>
      </c>
      <c r="T282" t="s">
        <v>614</v>
      </c>
      <c r="U282" t="s">
        <v>111</v>
      </c>
      <c r="V282" t="s">
        <v>656</v>
      </c>
      <c r="W282" t="s">
        <v>329</v>
      </c>
      <c r="X282" t="s">
        <v>275</v>
      </c>
      <c r="Y282" t="s">
        <v>45</v>
      </c>
      <c r="Z282">
        <v>20</v>
      </c>
      <c r="AA282">
        <v>6</v>
      </c>
      <c r="AB282" t="s">
        <v>46</v>
      </c>
      <c r="AC282" t="s">
        <v>47</v>
      </c>
      <c r="AD282" t="s">
        <v>870</v>
      </c>
      <c r="AE282" t="s">
        <v>871</v>
      </c>
    </row>
    <row r="283" spans="1:31" x14ac:dyDescent="0.2">
      <c r="A283" t="s">
        <v>31</v>
      </c>
      <c r="B283">
        <v>2012</v>
      </c>
      <c r="C283">
        <v>36</v>
      </c>
      <c r="D283" s="1">
        <v>41026</v>
      </c>
      <c r="E283" t="s">
        <v>63</v>
      </c>
      <c r="F283" t="s">
        <v>64</v>
      </c>
      <c r="G283" t="s">
        <v>65</v>
      </c>
      <c r="H283" t="s">
        <v>87</v>
      </c>
      <c r="I283" t="s">
        <v>87</v>
      </c>
      <c r="J283" t="s">
        <v>37</v>
      </c>
      <c r="K283">
        <v>207</v>
      </c>
      <c r="L283">
        <v>5</v>
      </c>
      <c r="M283">
        <v>170</v>
      </c>
      <c r="N283">
        <v>9</v>
      </c>
      <c r="O283" t="s">
        <v>65</v>
      </c>
      <c r="P283" t="s">
        <v>38</v>
      </c>
      <c r="Q283">
        <v>37</v>
      </c>
      <c r="R283">
        <v>0</v>
      </c>
      <c r="S283" t="s">
        <v>103</v>
      </c>
      <c r="T283" t="s">
        <v>40</v>
      </c>
      <c r="U283" t="s">
        <v>69</v>
      </c>
      <c r="V283" t="s">
        <v>819</v>
      </c>
      <c r="W283" t="s">
        <v>146</v>
      </c>
      <c r="X283" t="s">
        <v>460</v>
      </c>
      <c r="Y283" t="s">
        <v>45</v>
      </c>
      <c r="Z283">
        <v>20</v>
      </c>
      <c r="AA283">
        <v>6</v>
      </c>
      <c r="AB283" t="s">
        <v>46</v>
      </c>
      <c r="AC283" t="s">
        <v>47</v>
      </c>
      <c r="AD283" t="s">
        <v>872</v>
      </c>
      <c r="AE283" t="s">
        <v>873</v>
      </c>
    </row>
    <row r="284" spans="1:31" x14ac:dyDescent="0.2">
      <c r="A284" t="s">
        <v>31</v>
      </c>
      <c r="B284">
        <v>2012</v>
      </c>
      <c r="C284">
        <v>37</v>
      </c>
      <c r="D284" s="1">
        <v>41027</v>
      </c>
      <c r="E284" t="s">
        <v>108</v>
      </c>
      <c r="F284" t="s">
        <v>109</v>
      </c>
      <c r="G284" t="s">
        <v>53</v>
      </c>
      <c r="H284" t="s">
        <v>52</v>
      </c>
      <c r="I284" t="s">
        <v>52</v>
      </c>
      <c r="J284" t="s">
        <v>54</v>
      </c>
      <c r="K284">
        <v>149</v>
      </c>
      <c r="L284">
        <v>8</v>
      </c>
      <c r="M284">
        <v>156</v>
      </c>
      <c r="N284">
        <v>8</v>
      </c>
      <c r="O284" t="s">
        <v>52</v>
      </c>
      <c r="P284" t="s">
        <v>38</v>
      </c>
      <c r="Q284">
        <v>7</v>
      </c>
      <c r="R284">
        <v>0</v>
      </c>
      <c r="S284" t="s">
        <v>874</v>
      </c>
      <c r="T284" t="s">
        <v>502</v>
      </c>
      <c r="U284" t="s">
        <v>80</v>
      </c>
      <c r="V284" t="s">
        <v>124</v>
      </c>
      <c r="W284" t="s">
        <v>105</v>
      </c>
      <c r="X284" t="s">
        <v>174</v>
      </c>
      <c r="Y284" t="s">
        <v>45</v>
      </c>
      <c r="Z284">
        <v>20</v>
      </c>
      <c r="AA284">
        <v>6</v>
      </c>
      <c r="AB284" t="s">
        <v>46</v>
      </c>
      <c r="AC284" t="s">
        <v>47</v>
      </c>
      <c r="AD284" t="s">
        <v>875</v>
      </c>
      <c r="AE284" t="s">
        <v>876</v>
      </c>
    </row>
    <row r="285" spans="1:31" x14ac:dyDescent="0.2">
      <c r="A285" t="s">
        <v>31</v>
      </c>
      <c r="B285">
        <v>2012</v>
      </c>
      <c r="C285">
        <v>38</v>
      </c>
      <c r="D285" s="1">
        <v>41027</v>
      </c>
      <c r="E285" t="s">
        <v>75</v>
      </c>
      <c r="F285" t="s">
        <v>76</v>
      </c>
      <c r="G285" t="s">
        <v>36</v>
      </c>
      <c r="H285" t="s">
        <v>35</v>
      </c>
      <c r="I285" t="s">
        <v>36</v>
      </c>
      <c r="J285" t="s">
        <v>54</v>
      </c>
      <c r="K285">
        <v>190</v>
      </c>
      <c r="L285">
        <v>4</v>
      </c>
      <c r="M285">
        <v>143</v>
      </c>
      <c r="N285">
        <v>6</v>
      </c>
      <c r="O285" t="s">
        <v>36</v>
      </c>
      <c r="P285" t="s">
        <v>38</v>
      </c>
      <c r="Q285">
        <v>47</v>
      </c>
      <c r="R285">
        <v>0</v>
      </c>
      <c r="S285" t="s">
        <v>366</v>
      </c>
      <c r="T285" t="s">
        <v>790</v>
      </c>
      <c r="U285" t="s">
        <v>41</v>
      </c>
      <c r="V285" t="s">
        <v>137</v>
      </c>
      <c r="W285" t="s">
        <v>316</v>
      </c>
      <c r="X285" t="s">
        <v>877</v>
      </c>
      <c r="Y285" t="s">
        <v>45</v>
      </c>
      <c r="Z285">
        <v>20</v>
      </c>
      <c r="AA285">
        <v>6</v>
      </c>
      <c r="AB285" t="s">
        <v>46</v>
      </c>
      <c r="AC285" t="s">
        <v>47</v>
      </c>
      <c r="AD285" t="s">
        <v>878</v>
      </c>
      <c r="AE285" t="s">
        <v>879</v>
      </c>
    </row>
    <row r="286" spans="1:31" x14ac:dyDescent="0.2">
      <c r="A286" t="s">
        <v>31</v>
      </c>
      <c r="B286">
        <v>2012</v>
      </c>
      <c r="C286">
        <v>39</v>
      </c>
      <c r="D286" s="1">
        <v>41028</v>
      </c>
      <c r="E286" t="s">
        <v>63</v>
      </c>
      <c r="F286" t="s">
        <v>64</v>
      </c>
      <c r="G286" t="s">
        <v>65</v>
      </c>
      <c r="H286" t="s">
        <v>66</v>
      </c>
      <c r="I286" t="s">
        <v>65</v>
      </c>
      <c r="J286" t="s">
        <v>54</v>
      </c>
      <c r="K286">
        <v>152</v>
      </c>
      <c r="L286">
        <v>6</v>
      </c>
      <c r="M286">
        <v>151</v>
      </c>
      <c r="N286">
        <v>3</v>
      </c>
      <c r="O286" t="s">
        <v>65</v>
      </c>
      <c r="P286" t="s">
        <v>38</v>
      </c>
      <c r="Q286">
        <v>1</v>
      </c>
      <c r="R286">
        <v>0</v>
      </c>
      <c r="S286" t="s">
        <v>103</v>
      </c>
      <c r="T286" t="s">
        <v>614</v>
      </c>
      <c r="U286" t="s">
        <v>111</v>
      </c>
      <c r="V286" t="s">
        <v>656</v>
      </c>
      <c r="W286" t="s">
        <v>329</v>
      </c>
      <c r="X286" t="s">
        <v>880</v>
      </c>
      <c r="Y286" t="s">
        <v>45</v>
      </c>
      <c r="Z286">
        <v>20</v>
      </c>
      <c r="AA286">
        <v>6</v>
      </c>
      <c r="AB286" t="s">
        <v>46</v>
      </c>
      <c r="AC286" t="s">
        <v>47</v>
      </c>
      <c r="AD286" t="s">
        <v>881</v>
      </c>
      <c r="AE286" t="s">
        <v>882</v>
      </c>
    </row>
    <row r="287" spans="1:31" x14ac:dyDescent="0.2">
      <c r="A287" t="s">
        <v>31</v>
      </c>
      <c r="B287">
        <v>2012</v>
      </c>
      <c r="C287">
        <v>40</v>
      </c>
      <c r="D287" s="1">
        <v>41028</v>
      </c>
      <c r="E287" t="s">
        <v>85</v>
      </c>
      <c r="F287" t="s">
        <v>86</v>
      </c>
      <c r="G287" t="s">
        <v>87</v>
      </c>
      <c r="H287" t="s">
        <v>77</v>
      </c>
      <c r="I287" t="s">
        <v>87</v>
      </c>
      <c r="J287" t="s">
        <v>37</v>
      </c>
      <c r="K287">
        <v>101</v>
      </c>
      <c r="L287">
        <v>5</v>
      </c>
      <c r="M287">
        <v>100</v>
      </c>
      <c r="N287">
        <v>10</v>
      </c>
      <c r="O287" t="s">
        <v>87</v>
      </c>
      <c r="P287" t="s">
        <v>38</v>
      </c>
      <c r="Q287">
        <v>0</v>
      </c>
      <c r="R287">
        <v>5</v>
      </c>
      <c r="S287" t="s">
        <v>637</v>
      </c>
      <c r="T287" t="s">
        <v>40</v>
      </c>
      <c r="U287" t="s">
        <v>146</v>
      </c>
      <c r="V287" t="s">
        <v>819</v>
      </c>
      <c r="W287" t="s">
        <v>69</v>
      </c>
      <c r="X287" t="s">
        <v>201</v>
      </c>
      <c r="Y287" t="s">
        <v>45</v>
      </c>
      <c r="Z287">
        <v>20</v>
      </c>
      <c r="AA287">
        <v>6</v>
      </c>
      <c r="AB287" t="s">
        <v>46</v>
      </c>
      <c r="AC287" t="s">
        <v>47</v>
      </c>
      <c r="AD287" t="s">
        <v>883</v>
      </c>
      <c r="AE287" t="s">
        <v>884</v>
      </c>
    </row>
    <row r="288" spans="1:31" x14ac:dyDescent="0.2">
      <c r="A288" t="s">
        <v>31</v>
      </c>
      <c r="B288">
        <v>2012</v>
      </c>
      <c r="C288">
        <v>41</v>
      </c>
      <c r="D288" s="1">
        <v>41029</v>
      </c>
      <c r="E288" t="s">
        <v>108</v>
      </c>
      <c r="F288" t="s">
        <v>109</v>
      </c>
      <c r="G288" t="s">
        <v>53</v>
      </c>
      <c r="H288" t="s">
        <v>36</v>
      </c>
      <c r="I288" t="s">
        <v>53</v>
      </c>
      <c r="J288" t="s">
        <v>54</v>
      </c>
      <c r="K288">
        <v>139</v>
      </c>
      <c r="L288">
        <v>5</v>
      </c>
      <c r="M288">
        <v>140</v>
      </c>
      <c r="N288">
        <v>5</v>
      </c>
      <c r="O288" t="s">
        <v>36</v>
      </c>
      <c r="P288" t="s">
        <v>38</v>
      </c>
      <c r="Q288">
        <v>0</v>
      </c>
      <c r="R288">
        <v>5</v>
      </c>
      <c r="S288" t="s">
        <v>366</v>
      </c>
      <c r="T288" t="s">
        <v>502</v>
      </c>
      <c r="U288" t="s">
        <v>80</v>
      </c>
      <c r="V288" t="s">
        <v>105</v>
      </c>
      <c r="W288" t="s">
        <v>124</v>
      </c>
      <c r="X288" t="s">
        <v>174</v>
      </c>
      <c r="Y288" t="s">
        <v>45</v>
      </c>
      <c r="Z288">
        <v>20</v>
      </c>
      <c r="AA288">
        <v>6</v>
      </c>
      <c r="AB288" t="s">
        <v>46</v>
      </c>
      <c r="AC288" t="s">
        <v>47</v>
      </c>
      <c r="AD288" t="s">
        <v>885</v>
      </c>
      <c r="AE288" t="s">
        <v>886</v>
      </c>
    </row>
    <row r="289" spans="1:31" x14ac:dyDescent="0.2">
      <c r="A289" t="s">
        <v>31</v>
      </c>
      <c r="B289">
        <v>2012</v>
      </c>
      <c r="C289">
        <v>42</v>
      </c>
      <c r="D289" s="1">
        <v>41030</v>
      </c>
      <c r="E289" t="s">
        <v>473</v>
      </c>
      <c r="F289" t="s">
        <v>474</v>
      </c>
      <c r="G289" t="s">
        <v>77</v>
      </c>
      <c r="H289" t="s">
        <v>619</v>
      </c>
      <c r="I289" t="s">
        <v>77</v>
      </c>
      <c r="J289" t="s">
        <v>54</v>
      </c>
      <c r="K289">
        <v>186</v>
      </c>
      <c r="L289">
        <v>4</v>
      </c>
      <c r="M289">
        <v>173</v>
      </c>
      <c r="N289">
        <v>5</v>
      </c>
      <c r="O289" t="s">
        <v>77</v>
      </c>
      <c r="P289" t="s">
        <v>38</v>
      </c>
      <c r="Q289">
        <v>13</v>
      </c>
      <c r="R289">
        <v>0</v>
      </c>
      <c r="S289" t="s">
        <v>117</v>
      </c>
      <c r="T289" t="s">
        <v>440</v>
      </c>
      <c r="U289" t="s">
        <v>69</v>
      </c>
      <c r="V289" t="s">
        <v>146</v>
      </c>
      <c r="W289" t="s">
        <v>819</v>
      </c>
      <c r="X289" t="s">
        <v>626</v>
      </c>
      <c r="Y289" t="s">
        <v>45</v>
      </c>
      <c r="Z289">
        <v>20</v>
      </c>
      <c r="AA289">
        <v>6</v>
      </c>
      <c r="AB289" t="s">
        <v>46</v>
      </c>
      <c r="AC289" t="s">
        <v>47</v>
      </c>
      <c r="AD289" t="s">
        <v>887</v>
      </c>
      <c r="AE289" t="s">
        <v>888</v>
      </c>
    </row>
    <row r="290" spans="1:31" x14ac:dyDescent="0.2">
      <c r="A290" t="s">
        <v>31</v>
      </c>
      <c r="B290">
        <v>2012</v>
      </c>
      <c r="C290">
        <v>43</v>
      </c>
      <c r="D290" s="1">
        <v>41030</v>
      </c>
      <c r="E290" t="s">
        <v>95</v>
      </c>
      <c r="F290" t="s">
        <v>96</v>
      </c>
      <c r="G290" t="s">
        <v>66</v>
      </c>
      <c r="H290" t="s">
        <v>65</v>
      </c>
      <c r="I290" t="s">
        <v>66</v>
      </c>
      <c r="J290" t="s">
        <v>54</v>
      </c>
      <c r="K290">
        <v>141</v>
      </c>
      <c r="L290">
        <v>6</v>
      </c>
      <c r="M290">
        <v>144</v>
      </c>
      <c r="N290">
        <v>4</v>
      </c>
      <c r="O290" t="s">
        <v>65</v>
      </c>
      <c r="P290" t="s">
        <v>38</v>
      </c>
      <c r="Q290">
        <v>0</v>
      </c>
      <c r="R290">
        <v>6</v>
      </c>
      <c r="S290" t="s">
        <v>889</v>
      </c>
      <c r="T290" t="s">
        <v>614</v>
      </c>
      <c r="U290" t="s">
        <v>329</v>
      </c>
      <c r="V290" t="s">
        <v>286</v>
      </c>
      <c r="W290" t="s">
        <v>111</v>
      </c>
      <c r="X290" t="s">
        <v>631</v>
      </c>
      <c r="Y290" t="s">
        <v>45</v>
      </c>
      <c r="Z290">
        <v>20</v>
      </c>
      <c r="AA290">
        <v>6</v>
      </c>
      <c r="AB290" t="s">
        <v>46</v>
      </c>
      <c r="AC290" t="s">
        <v>47</v>
      </c>
      <c r="AD290" t="s">
        <v>890</v>
      </c>
      <c r="AE290" t="s">
        <v>891</v>
      </c>
    </row>
    <row r="291" spans="1:31" x14ac:dyDescent="0.2">
      <c r="A291" t="s">
        <v>31</v>
      </c>
      <c r="B291">
        <v>2012</v>
      </c>
      <c r="C291">
        <v>44</v>
      </c>
      <c r="D291" s="1">
        <v>41031</v>
      </c>
      <c r="E291" t="s">
        <v>33</v>
      </c>
      <c r="F291" t="s">
        <v>34</v>
      </c>
      <c r="G291" t="s">
        <v>35</v>
      </c>
      <c r="H291" t="s">
        <v>52</v>
      </c>
      <c r="I291" t="s">
        <v>52</v>
      </c>
      <c r="J291" t="s">
        <v>37</v>
      </c>
      <c r="K291">
        <v>158</v>
      </c>
      <c r="L291">
        <v>5</v>
      </c>
      <c r="M291">
        <v>163</v>
      </c>
      <c r="N291">
        <v>6</v>
      </c>
      <c r="O291" t="s">
        <v>52</v>
      </c>
      <c r="P291" t="s">
        <v>38</v>
      </c>
      <c r="Q291">
        <v>0</v>
      </c>
      <c r="R291">
        <v>4</v>
      </c>
      <c r="S291" t="s">
        <v>892</v>
      </c>
      <c r="T291" t="s">
        <v>502</v>
      </c>
      <c r="U291" t="s">
        <v>80</v>
      </c>
      <c r="V291" t="s">
        <v>105</v>
      </c>
      <c r="W291" t="s">
        <v>124</v>
      </c>
      <c r="X291" t="s">
        <v>158</v>
      </c>
      <c r="Y291" t="s">
        <v>45</v>
      </c>
      <c r="Z291">
        <v>20</v>
      </c>
      <c r="AA291">
        <v>6</v>
      </c>
      <c r="AB291" t="s">
        <v>46</v>
      </c>
      <c r="AC291" t="s">
        <v>47</v>
      </c>
      <c r="AD291" t="s">
        <v>893</v>
      </c>
      <c r="AE291" t="s">
        <v>894</v>
      </c>
    </row>
    <row r="292" spans="1:31" x14ac:dyDescent="0.2">
      <c r="A292" t="s">
        <v>31</v>
      </c>
      <c r="B292">
        <v>2012</v>
      </c>
      <c r="C292">
        <v>45</v>
      </c>
      <c r="D292" s="1">
        <v>41032</v>
      </c>
      <c r="E292" t="s">
        <v>807</v>
      </c>
      <c r="F292" t="s">
        <v>808</v>
      </c>
      <c r="G292" t="s">
        <v>619</v>
      </c>
      <c r="H292" t="s">
        <v>87</v>
      </c>
      <c r="I292" t="s">
        <v>87</v>
      </c>
      <c r="J292" t="s">
        <v>54</v>
      </c>
      <c r="K292">
        <v>119</v>
      </c>
      <c r="L292">
        <v>6</v>
      </c>
      <c r="M292">
        <v>120</v>
      </c>
      <c r="N292">
        <v>9</v>
      </c>
      <c r="O292" t="s">
        <v>87</v>
      </c>
      <c r="P292" t="s">
        <v>38</v>
      </c>
      <c r="Q292">
        <v>1</v>
      </c>
      <c r="R292">
        <v>0</v>
      </c>
      <c r="S292" t="s">
        <v>515</v>
      </c>
      <c r="T292" t="s">
        <v>440</v>
      </c>
      <c r="U292" t="s">
        <v>41</v>
      </c>
      <c r="V292" t="s">
        <v>316</v>
      </c>
      <c r="W292" t="s">
        <v>137</v>
      </c>
      <c r="X292" t="s">
        <v>621</v>
      </c>
      <c r="Y292" t="s">
        <v>45</v>
      </c>
      <c r="Z292">
        <v>20</v>
      </c>
      <c r="AA292">
        <v>6</v>
      </c>
      <c r="AB292" t="s">
        <v>46</v>
      </c>
      <c r="AC292" t="s">
        <v>47</v>
      </c>
      <c r="AD292" t="s">
        <v>895</v>
      </c>
      <c r="AE292" t="s">
        <v>896</v>
      </c>
    </row>
    <row r="293" spans="1:31" x14ac:dyDescent="0.2">
      <c r="A293" t="s">
        <v>31</v>
      </c>
      <c r="B293">
        <v>2012</v>
      </c>
      <c r="C293">
        <v>46</v>
      </c>
      <c r="D293" s="1">
        <v>41033</v>
      </c>
      <c r="E293" t="s">
        <v>108</v>
      </c>
      <c r="F293" t="s">
        <v>109</v>
      </c>
      <c r="G293" t="s">
        <v>53</v>
      </c>
      <c r="H293" t="s">
        <v>77</v>
      </c>
      <c r="I293" t="s">
        <v>53</v>
      </c>
      <c r="J293" t="s">
        <v>54</v>
      </c>
      <c r="K293">
        <v>160</v>
      </c>
      <c r="L293">
        <v>6</v>
      </c>
      <c r="M293">
        <v>150</v>
      </c>
      <c r="N293">
        <v>5</v>
      </c>
      <c r="O293" t="s">
        <v>53</v>
      </c>
      <c r="P293" t="s">
        <v>38</v>
      </c>
      <c r="Q293">
        <v>10</v>
      </c>
      <c r="R293">
        <v>0</v>
      </c>
      <c r="S293" t="s">
        <v>248</v>
      </c>
      <c r="T293" t="s">
        <v>502</v>
      </c>
      <c r="U293" t="s">
        <v>312</v>
      </c>
      <c r="V293" t="s">
        <v>819</v>
      </c>
      <c r="W293" t="s">
        <v>69</v>
      </c>
      <c r="X293" t="s">
        <v>174</v>
      </c>
      <c r="Y293" t="s">
        <v>45</v>
      </c>
      <c r="Z293">
        <v>20</v>
      </c>
      <c r="AA293">
        <v>6</v>
      </c>
      <c r="AB293" t="s">
        <v>46</v>
      </c>
      <c r="AC293" t="s">
        <v>47</v>
      </c>
      <c r="AD293" t="s">
        <v>897</v>
      </c>
      <c r="AE293" t="s">
        <v>898</v>
      </c>
    </row>
    <row r="294" spans="1:31" x14ac:dyDescent="0.2">
      <c r="A294" t="s">
        <v>31</v>
      </c>
      <c r="B294">
        <v>2012</v>
      </c>
      <c r="C294">
        <v>47</v>
      </c>
      <c r="D294" s="1">
        <v>41034</v>
      </c>
      <c r="E294" t="s">
        <v>75</v>
      </c>
      <c r="F294" t="s">
        <v>76</v>
      </c>
      <c r="G294" t="s">
        <v>36</v>
      </c>
      <c r="H294" t="s">
        <v>619</v>
      </c>
      <c r="I294" t="s">
        <v>36</v>
      </c>
      <c r="J294" t="s">
        <v>54</v>
      </c>
      <c r="K294">
        <v>150</v>
      </c>
      <c r="L294">
        <v>5</v>
      </c>
      <c r="M294">
        <v>143</v>
      </c>
      <c r="N294">
        <v>8</v>
      </c>
      <c r="O294" t="s">
        <v>36</v>
      </c>
      <c r="P294" t="s">
        <v>38</v>
      </c>
      <c r="Q294">
        <v>7</v>
      </c>
      <c r="R294">
        <v>0</v>
      </c>
      <c r="S294" t="s">
        <v>835</v>
      </c>
      <c r="T294" t="s">
        <v>40</v>
      </c>
      <c r="U294" t="s">
        <v>80</v>
      </c>
      <c r="V294" t="s">
        <v>124</v>
      </c>
      <c r="W294" t="s">
        <v>105</v>
      </c>
      <c r="X294" t="s">
        <v>877</v>
      </c>
      <c r="Y294" t="s">
        <v>45</v>
      </c>
      <c r="Z294">
        <v>20</v>
      </c>
      <c r="AA294">
        <v>6</v>
      </c>
      <c r="AB294" t="s">
        <v>46</v>
      </c>
      <c r="AC294" t="s">
        <v>47</v>
      </c>
      <c r="AD294" t="s">
        <v>899</v>
      </c>
      <c r="AE294" t="s">
        <v>900</v>
      </c>
    </row>
    <row r="295" spans="1:31" x14ac:dyDescent="0.2">
      <c r="A295" t="s">
        <v>31</v>
      </c>
      <c r="B295">
        <v>2012</v>
      </c>
      <c r="C295">
        <v>48</v>
      </c>
      <c r="D295" s="1">
        <v>41034</v>
      </c>
      <c r="E295" t="s">
        <v>50</v>
      </c>
      <c r="F295" t="s">
        <v>51</v>
      </c>
      <c r="G295" t="s">
        <v>52</v>
      </c>
      <c r="H295" t="s">
        <v>66</v>
      </c>
      <c r="I295" t="s">
        <v>66</v>
      </c>
      <c r="J295" t="s">
        <v>54</v>
      </c>
      <c r="K295">
        <v>134</v>
      </c>
      <c r="L295">
        <v>8</v>
      </c>
      <c r="M295">
        <v>177</v>
      </c>
      <c r="N295">
        <v>6</v>
      </c>
      <c r="O295" t="s">
        <v>66</v>
      </c>
      <c r="P295" t="s">
        <v>38</v>
      </c>
      <c r="Q295">
        <v>43</v>
      </c>
      <c r="R295">
        <v>0</v>
      </c>
      <c r="S295" t="s">
        <v>97</v>
      </c>
      <c r="T295" t="s">
        <v>440</v>
      </c>
      <c r="U295" t="s">
        <v>329</v>
      </c>
      <c r="V295" t="s">
        <v>286</v>
      </c>
      <c r="W295" t="s">
        <v>111</v>
      </c>
      <c r="X295" t="s">
        <v>826</v>
      </c>
      <c r="Y295" t="s">
        <v>45</v>
      </c>
      <c r="Z295">
        <v>20</v>
      </c>
      <c r="AA295">
        <v>6</v>
      </c>
      <c r="AB295" t="s">
        <v>46</v>
      </c>
      <c r="AC295" t="s">
        <v>47</v>
      </c>
      <c r="AD295" t="s">
        <v>901</v>
      </c>
      <c r="AE295" t="s">
        <v>902</v>
      </c>
    </row>
    <row r="296" spans="1:31" x14ac:dyDescent="0.2">
      <c r="A296" t="s">
        <v>31</v>
      </c>
      <c r="B296">
        <v>2012</v>
      </c>
      <c r="C296">
        <v>49</v>
      </c>
      <c r="D296" s="1">
        <v>41035</v>
      </c>
      <c r="E296" t="s">
        <v>85</v>
      </c>
      <c r="F296" t="s">
        <v>86</v>
      </c>
      <c r="G296" t="s">
        <v>87</v>
      </c>
      <c r="H296" t="s">
        <v>53</v>
      </c>
      <c r="I296" t="s">
        <v>87</v>
      </c>
      <c r="J296" t="s">
        <v>37</v>
      </c>
      <c r="K296">
        <v>174</v>
      </c>
      <c r="L296">
        <v>8</v>
      </c>
      <c r="M296">
        <v>173</v>
      </c>
      <c r="N296">
        <v>8</v>
      </c>
      <c r="O296" t="s">
        <v>87</v>
      </c>
      <c r="P296" t="s">
        <v>38</v>
      </c>
      <c r="Q296">
        <v>0</v>
      </c>
      <c r="R296">
        <v>2</v>
      </c>
      <c r="S296" t="s">
        <v>388</v>
      </c>
      <c r="T296" t="s">
        <v>681</v>
      </c>
      <c r="U296" t="s">
        <v>41</v>
      </c>
      <c r="V296" t="s">
        <v>316</v>
      </c>
      <c r="W296" t="s">
        <v>137</v>
      </c>
      <c r="X296" t="s">
        <v>201</v>
      </c>
      <c r="Y296" t="s">
        <v>45</v>
      </c>
      <c r="Z296">
        <v>20</v>
      </c>
      <c r="AA296">
        <v>6</v>
      </c>
      <c r="AB296" t="s">
        <v>46</v>
      </c>
      <c r="AC296" t="s">
        <v>47</v>
      </c>
      <c r="AD296" t="s">
        <v>903</v>
      </c>
      <c r="AE296" t="s">
        <v>904</v>
      </c>
    </row>
    <row r="297" spans="1:31" x14ac:dyDescent="0.2">
      <c r="A297" t="s">
        <v>31</v>
      </c>
      <c r="B297">
        <v>2012</v>
      </c>
      <c r="C297">
        <v>50</v>
      </c>
      <c r="D297" s="1">
        <v>41035</v>
      </c>
      <c r="E297" t="s">
        <v>33</v>
      </c>
      <c r="F297" t="s">
        <v>34</v>
      </c>
      <c r="G297" t="s">
        <v>35</v>
      </c>
      <c r="H297" t="s">
        <v>77</v>
      </c>
      <c r="I297" t="s">
        <v>35</v>
      </c>
      <c r="J297" t="s">
        <v>37</v>
      </c>
      <c r="K297">
        <v>185</v>
      </c>
      <c r="L297">
        <v>5</v>
      </c>
      <c r="M297">
        <v>181</v>
      </c>
      <c r="N297">
        <v>2</v>
      </c>
      <c r="O297" t="s">
        <v>35</v>
      </c>
      <c r="P297" t="s">
        <v>38</v>
      </c>
      <c r="Q297">
        <v>0</v>
      </c>
      <c r="R297">
        <v>5</v>
      </c>
      <c r="S297" t="s">
        <v>300</v>
      </c>
      <c r="T297" t="s">
        <v>502</v>
      </c>
      <c r="U297" t="s">
        <v>312</v>
      </c>
      <c r="V297" t="s">
        <v>819</v>
      </c>
      <c r="W297" t="s">
        <v>69</v>
      </c>
      <c r="X297" t="s">
        <v>158</v>
      </c>
      <c r="Y297" t="s">
        <v>45</v>
      </c>
      <c r="Z297">
        <v>20</v>
      </c>
      <c r="AA297">
        <v>6</v>
      </c>
      <c r="AB297" t="s">
        <v>46</v>
      </c>
      <c r="AC297" t="s">
        <v>47</v>
      </c>
      <c r="AD297" t="s">
        <v>905</v>
      </c>
      <c r="AE297" t="s">
        <v>906</v>
      </c>
    </row>
    <row r="298" spans="1:31" x14ac:dyDescent="0.2">
      <c r="A298" t="s">
        <v>31</v>
      </c>
      <c r="B298">
        <v>2012</v>
      </c>
      <c r="C298">
        <v>51</v>
      </c>
      <c r="D298" s="1">
        <v>41036</v>
      </c>
      <c r="E298" t="s">
        <v>63</v>
      </c>
      <c r="F298" t="s">
        <v>64</v>
      </c>
      <c r="G298" t="s">
        <v>65</v>
      </c>
      <c r="H298" t="s">
        <v>36</v>
      </c>
      <c r="I298" t="s">
        <v>65</v>
      </c>
      <c r="J298" t="s">
        <v>54</v>
      </c>
      <c r="K298">
        <v>153</v>
      </c>
      <c r="L298">
        <v>9</v>
      </c>
      <c r="M298">
        <v>154</v>
      </c>
      <c r="N298">
        <v>4</v>
      </c>
      <c r="O298" t="s">
        <v>36</v>
      </c>
      <c r="P298" t="s">
        <v>38</v>
      </c>
      <c r="Q298">
        <v>0</v>
      </c>
      <c r="R298">
        <v>6</v>
      </c>
      <c r="S298" t="s">
        <v>359</v>
      </c>
      <c r="T298" t="s">
        <v>440</v>
      </c>
      <c r="U298" t="s">
        <v>329</v>
      </c>
      <c r="V298" t="s">
        <v>111</v>
      </c>
      <c r="W298" t="s">
        <v>286</v>
      </c>
      <c r="X298" t="s">
        <v>880</v>
      </c>
      <c r="Y298" t="s">
        <v>45</v>
      </c>
      <c r="Z298">
        <v>20</v>
      </c>
      <c r="AA298">
        <v>6</v>
      </c>
      <c r="AB298" t="s">
        <v>46</v>
      </c>
      <c r="AC298" t="s">
        <v>47</v>
      </c>
      <c r="AD298" t="s">
        <v>907</v>
      </c>
      <c r="AE298" t="s">
        <v>908</v>
      </c>
    </row>
    <row r="299" spans="1:31" x14ac:dyDescent="0.2">
      <c r="A299" t="s">
        <v>31</v>
      </c>
      <c r="B299">
        <v>2012</v>
      </c>
      <c r="C299">
        <v>52</v>
      </c>
      <c r="D299" s="1">
        <v>41037</v>
      </c>
      <c r="E299" t="s">
        <v>807</v>
      </c>
      <c r="F299" t="s">
        <v>808</v>
      </c>
      <c r="G299" t="s">
        <v>619</v>
      </c>
      <c r="H299" t="s">
        <v>66</v>
      </c>
      <c r="I299" t="s">
        <v>619</v>
      </c>
      <c r="J299" t="s">
        <v>54</v>
      </c>
      <c r="K299">
        <v>125</v>
      </c>
      <c r="L299">
        <v>6</v>
      </c>
      <c r="M299">
        <v>126</v>
      </c>
      <c r="N299">
        <v>3</v>
      </c>
      <c r="O299" t="s">
        <v>66</v>
      </c>
      <c r="P299" t="s">
        <v>38</v>
      </c>
      <c r="Q299">
        <v>0</v>
      </c>
      <c r="R299">
        <v>7</v>
      </c>
      <c r="S299" t="s">
        <v>97</v>
      </c>
      <c r="T299" t="s">
        <v>681</v>
      </c>
      <c r="U299" t="s">
        <v>41</v>
      </c>
      <c r="V299" t="s">
        <v>137</v>
      </c>
      <c r="W299" t="s">
        <v>316</v>
      </c>
      <c r="X299" t="s">
        <v>621</v>
      </c>
      <c r="Y299" t="s">
        <v>45</v>
      </c>
      <c r="Z299">
        <v>20</v>
      </c>
      <c r="AA299">
        <v>6</v>
      </c>
      <c r="AB299" t="s">
        <v>46</v>
      </c>
      <c r="AC299" t="s">
        <v>47</v>
      </c>
      <c r="AD299" t="s">
        <v>909</v>
      </c>
      <c r="AE299" t="s">
        <v>910</v>
      </c>
    </row>
    <row r="300" spans="1:31" x14ac:dyDescent="0.2">
      <c r="A300" t="s">
        <v>31</v>
      </c>
      <c r="B300">
        <v>2012</v>
      </c>
      <c r="C300">
        <v>53</v>
      </c>
      <c r="D300" s="1">
        <v>41037</v>
      </c>
      <c r="E300" t="s">
        <v>101</v>
      </c>
      <c r="F300" t="s">
        <v>102</v>
      </c>
      <c r="G300" t="s">
        <v>77</v>
      </c>
      <c r="H300" t="s">
        <v>52</v>
      </c>
      <c r="I300" t="s">
        <v>77</v>
      </c>
      <c r="J300" t="s">
        <v>37</v>
      </c>
      <c r="K300">
        <v>145</v>
      </c>
      <c r="L300">
        <v>8</v>
      </c>
      <c r="M300">
        <v>170</v>
      </c>
      <c r="N300">
        <v>5</v>
      </c>
      <c r="O300" t="s">
        <v>52</v>
      </c>
      <c r="P300" t="s">
        <v>38</v>
      </c>
      <c r="Q300">
        <v>25</v>
      </c>
      <c r="R300">
        <v>0</v>
      </c>
      <c r="S300" t="s">
        <v>874</v>
      </c>
      <c r="T300" t="s">
        <v>40</v>
      </c>
      <c r="U300" t="s">
        <v>312</v>
      </c>
      <c r="V300" t="s">
        <v>819</v>
      </c>
      <c r="W300" t="s">
        <v>105</v>
      </c>
      <c r="X300" t="s">
        <v>463</v>
      </c>
      <c r="Y300" t="s">
        <v>45</v>
      </c>
      <c r="Z300">
        <v>20</v>
      </c>
      <c r="AA300">
        <v>6</v>
      </c>
      <c r="AB300" t="s">
        <v>46</v>
      </c>
      <c r="AC300" t="s">
        <v>47</v>
      </c>
      <c r="AD300" t="s">
        <v>911</v>
      </c>
      <c r="AE300" t="s">
        <v>912</v>
      </c>
    </row>
    <row r="301" spans="1:31" x14ac:dyDescent="0.2">
      <c r="A301" t="s">
        <v>31</v>
      </c>
      <c r="B301">
        <v>2012</v>
      </c>
      <c r="C301">
        <v>54</v>
      </c>
      <c r="D301" s="1">
        <v>41038</v>
      </c>
      <c r="E301" t="s">
        <v>85</v>
      </c>
      <c r="F301" t="s">
        <v>86</v>
      </c>
      <c r="G301" t="s">
        <v>87</v>
      </c>
      <c r="H301" t="s">
        <v>35</v>
      </c>
      <c r="I301" t="s">
        <v>35</v>
      </c>
      <c r="J301" t="s">
        <v>37</v>
      </c>
      <c r="K301">
        <v>141</v>
      </c>
      <c r="L301">
        <v>6</v>
      </c>
      <c r="M301">
        <v>142</v>
      </c>
      <c r="N301">
        <v>1</v>
      </c>
      <c r="O301" t="s">
        <v>35</v>
      </c>
      <c r="P301" t="s">
        <v>38</v>
      </c>
      <c r="Q301">
        <v>0</v>
      </c>
      <c r="R301">
        <v>9</v>
      </c>
      <c r="S301" t="s">
        <v>292</v>
      </c>
      <c r="T301" t="s">
        <v>783</v>
      </c>
      <c r="U301" t="s">
        <v>80</v>
      </c>
      <c r="V301" t="s">
        <v>642</v>
      </c>
      <c r="W301" t="s">
        <v>124</v>
      </c>
      <c r="X301" t="s">
        <v>201</v>
      </c>
      <c r="Y301" t="s">
        <v>45</v>
      </c>
      <c r="Z301">
        <v>20</v>
      </c>
      <c r="AA301">
        <v>6</v>
      </c>
      <c r="AB301" t="s">
        <v>46</v>
      </c>
      <c r="AC301" t="s">
        <v>47</v>
      </c>
      <c r="AD301" t="s">
        <v>913</v>
      </c>
      <c r="AE301" t="s">
        <v>914</v>
      </c>
    </row>
    <row r="302" spans="1:31" x14ac:dyDescent="0.2">
      <c r="A302" t="s">
        <v>31</v>
      </c>
      <c r="B302">
        <v>2012</v>
      </c>
      <c r="C302">
        <v>55</v>
      </c>
      <c r="D302" s="1">
        <v>41039</v>
      </c>
      <c r="E302" t="s">
        <v>101</v>
      </c>
      <c r="F302" t="s">
        <v>102</v>
      </c>
      <c r="G302" t="s">
        <v>77</v>
      </c>
      <c r="H302" t="s">
        <v>65</v>
      </c>
      <c r="I302" t="s">
        <v>77</v>
      </c>
      <c r="J302" t="s">
        <v>54</v>
      </c>
      <c r="K302">
        <v>187</v>
      </c>
      <c r="L302">
        <v>4</v>
      </c>
      <c r="M302">
        <v>193</v>
      </c>
      <c r="N302">
        <v>1</v>
      </c>
      <c r="O302" t="s">
        <v>65</v>
      </c>
      <c r="P302" t="s">
        <v>38</v>
      </c>
      <c r="Q302">
        <v>0</v>
      </c>
      <c r="R302">
        <v>9</v>
      </c>
      <c r="S302" t="s">
        <v>512</v>
      </c>
      <c r="T302" t="s">
        <v>40</v>
      </c>
      <c r="U302" t="s">
        <v>329</v>
      </c>
      <c r="V302" t="s">
        <v>286</v>
      </c>
      <c r="W302" t="s">
        <v>111</v>
      </c>
      <c r="X302" t="s">
        <v>463</v>
      </c>
      <c r="Y302" t="s">
        <v>45</v>
      </c>
      <c r="Z302">
        <v>20</v>
      </c>
      <c r="AA302">
        <v>6</v>
      </c>
      <c r="AB302" t="s">
        <v>46</v>
      </c>
      <c r="AC302" t="s">
        <v>47</v>
      </c>
      <c r="AD302" t="s">
        <v>915</v>
      </c>
      <c r="AE302" t="s">
        <v>916</v>
      </c>
    </row>
    <row r="303" spans="1:31" x14ac:dyDescent="0.2">
      <c r="A303" t="s">
        <v>31</v>
      </c>
      <c r="B303">
        <v>2012</v>
      </c>
      <c r="C303">
        <v>56</v>
      </c>
      <c r="D303" s="1">
        <v>41039</v>
      </c>
      <c r="E303" t="s">
        <v>95</v>
      </c>
      <c r="F303" t="s">
        <v>96</v>
      </c>
      <c r="G303" t="s">
        <v>66</v>
      </c>
      <c r="H303" t="s">
        <v>53</v>
      </c>
      <c r="I303" t="s">
        <v>53</v>
      </c>
      <c r="J303" t="s">
        <v>37</v>
      </c>
      <c r="K303">
        <v>126</v>
      </c>
      <c r="L303">
        <v>6</v>
      </c>
      <c r="M303">
        <v>127</v>
      </c>
      <c r="N303">
        <v>6</v>
      </c>
      <c r="O303" t="s">
        <v>53</v>
      </c>
      <c r="P303" t="s">
        <v>38</v>
      </c>
      <c r="Q303">
        <v>0</v>
      </c>
      <c r="R303">
        <v>4</v>
      </c>
      <c r="S303" t="s">
        <v>917</v>
      </c>
      <c r="T303" t="s">
        <v>440</v>
      </c>
      <c r="U303" t="s">
        <v>819</v>
      </c>
      <c r="V303" t="s">
        <v>105</v>
      </c>
      <c r="W303" t="s">
        <v>312</v>
      </c>
      <c r="X303" t="s">
        <v>631</v>
      </c>
      <c r="Y303" t="s">
        <v>45</v>
      </c>
      <c r="Z303">
        <v>20</v>
      </c>
      <c r="AA303">
        <v>6</v>
      </c>
      <c r="AB303" t="s">
        <v>46</v>
      </c>
      <c r="AC303" t="s">
        <v>47</v>
      </c>
      <c r="AD303" t="s">
        <v>918</v>
      </c>
      <c r="AE303" t="s">
        <v>919</v>
      </c>
    </row>
    <row r="304" spans="1:31" x14ac:dyDescent="0.2">
      <c r="A304" t="s">
        <v>31</v>
      </c>
      <c r="B304">
        <v>2012</v>
      </c>
      <c r="C304">
        <v>57</v>
      </c>
      <c r="D304" s="1">
        <v>41040</v>
      </c>
      <c r="E304" t="s">
        <v>807</v>
      </c>
      <c r="F304" t="s">
        <v>808</v>
      </c>
      <c r="G304" t="s">
        <v>619</v>
      </c>
      <c r="H304" t="s">
        <v>35</v>
      </c>
      <c r="I304" t="s">
        <v>619</v>
      </c>
      <c r="J304" t="s">
        <v>37</v>
      </c>
      <c r="K304">
        <v>138</v>
      </c>
      <c r="L304">
        <v>9</v>
      </c>
      <c r="M304">
        <v>173</v>
      </c>
      <c r="N304">
        <v>3</v>
      </c>
      <c r="O304" t="s">
        <v>35</v>
      </c>
      <c r="P304" t="s">
        <v>38</v>
      </c>
      <c r="Q304">
        <v>35</v>
      </c>
      <c r="R304">
        <v>0</v>
      </c>
      <c r="S304" t="s">
        <v>292</v>
      </c>
      <c r="T304" t="s">
        <v>783</v>
      </c>
      <c r="U304" t="s">
        <v>80</v>
      </c>
      <c r="V304" t="s">
        <v>124</v>
      </c>
      <c r="W304" t="s">
        <v>642</v>
      </c>
      <c r="X304" t="s">
        <v>621</v>
      </c>
      <c r="Y304" t="s">
        <v>45</v>
      </c>
      <c r="Z304">
        <v>20</v>
      </c>
      <c r="AA304">
        <v>6</v>
      </c>
      <c r="AB304" t="s">
        <v>46</v>
      </c>
      <c r="AC304" t="s">
        <v>47</v>
      </c>
      <c r="AD304" t="s">
        <v>920</v>
      </c>
      <c r="AE304" t="s">
        <v>921</v>
      </c>
    </row>
    <row r="305" spans="1:31" x14ac:dyDescent="0.2">
      <c r="A305" t="s">
        <v>31</v>
      </c>
      <c r="B305">
        <v>2012</v>
      </c>
      <c r="C305">
        <v>58</v>
      </c>
      <c r="D305" s="1">
        <v>41041</v>
      </c>
      <c r="E305" t="s">
        <v>75</v>
      </c>
      <c r="F305" t="s">
        <v>76</v>
      </c>
      <c r="G305" t="s">
        <v>36</v>
      </c>
      <c r="H305" t="s">
        <v>87</v>
      </c>
      <c r="I305" t="s">
        <v>87</v>
      </c>
      <c r="J305" t="s">
        <v>54</v>
      </c>
      <c r="K305">
        <v>155</v>
      </c>
      <c r="L305">
        <v>4</v>
      </c>
      <c r="M305">
        <v>182</v>
      </c>
      <c r="N305">
        <v>1</v>
      </c>
      <c r="O305" t="s">
        <v>87</v>
      </c>
      <c r="P305" t="s">
        <v>38</v>
      </c>
      <c r="Q305">
        <v>27</v>
      </c>
      <c r="R305">
        <v>0</v>
      </c>
      <c r="S305" t="s">
        <v>369</v>
      </c>
      <c r="T305" t="s">
        <v>40</v>
      </c>
      <c r="U305" t="s">
        <v>111</v>
      </c>
      <c r="V305" t="s">
        <v>286</v>
      </c>
      <c r="W305" t="s">
        <v>329</v>
      </c>
      <c r="X305" t="s">
        <v>877</v>
      </c>
      <c r="Y305" t="s">
        <v>45</v>
      </c>
      <c r="Z305">
        <v>20</v>
      </c>
      <c r="AA305">
        <v>6</v>
      </c>
      <c r="AB305" t="s">
        <v>46</v>
      </c>
      <c r="AC305" t="s">
        <v>47</v>
      </c>
      <c r="AD305" t="s">
        <v>922</v>
      </c>
      <c r="AE305" t="s">
        <v>923</v>
      </c>
    </row>
    <row r="306" spans="1:31" x14ac:dyDescent="0.2">
      <c r="A306" t="s">
        <v>31</v>
      </c>
      <c r="B306">
        <v>2012</v>
      </c>
      <c r="C306">
        <v>59</v>
      </c>
      <c r="D306" s="1">
        <v>41041</v>
      </c>
      <c r="E306" t="s">
        <v>108</v>
      </c>
      <c r="F306" t="s">
        <v>109</v>
      </c>
      <c r="G306" t="s">
        <v>53</v>
      </c>
      <c r="H306" t="s">
        <v>65</v>
      </c>
      <c r="I306" t="s">
        <v>53</v>
      </c>
      <c r="J306" t="s">
        <v>37</v>
      </c>
      <c r="K306">
        <v>115</v>
      </c>
      <c r="L306">
        <v>1</v>
      </c>
      <c r="M306">
        <v>114</v>
      </c>
      <c r="N306">
        <v>5</v>
      </c>
      <c r="O306" t="s">
        <v>53</v>
      </c>
      <c r="P306" t="s">
        <v>38</v>
      </c>
      <c r="Q306">
        <v>0</v>
      </c>
      <c r="R306">
        <v>9</v>
      </c>
      <c r="S306" t="s">
        <v>917</v>
      </c>
      <c r="T306" t="s">
        <v>681</v>
      </c>
      <c r="U306" t="s">
        <v>454</v>
      </c>
      <c r="V306" t="s">
        <v>137</v>
      </c>
      <c r="W306" t="s">
        <v>316</v>
      </c>
      <c r="X306" t="s">
        <v>174</v>
      </c>
      <c r="Y306" t="s">
        <v>45</v>
      </c>
      <c r="Z306">
        <v>20</v>
      </c>
      <c r="AA306">
        <v>6</v>
      </c>
      <c r="AB306" t="s">
        <v>46</v>
      </c>
      <c r="AC306" t="s">
        <v>47</v>
      </c>
      <c r="AD306" t="s">
        <v>924</v>
      </c>
      <c r="AE306" t="s">
        <v>925</v>
      </c>
    </row>
    <row r="307" spans="1:31" x14ac:dyDescent="0.2">
      <c r="A307" t="s">
        <v>31</v>
      </c>
      <c r="B307">
        <v>2012</v>
      </c>
      <c r="C307">
        <v>60</v>
      </c>
      <c r="D307" s="1">
        <v>41042</v>
      </c>
      <c r="E307" t="s">
        <v>95</v>
      </c>
      <c r="F307" t="s">
        <v>96</v>
      </c>
      <c r="G307" t="s">
        <v>66</v>
      </c>
      <c r="H307" t="s">
        <v>619</v>
      </c>
      <c r="I307" t="s">
        <v>66</v>
      </c>
      <c r="J307" t="s">
        <v>54</v>
      </c>
      <c r="K307">
        <v>170</v>
      </c>
      <c r="L307">
        <v>4</v>
      </c>
      <c r="M307">
        <v>125</v>
      </c>
      <c r="N307">
        <v>9</v>
      </c>
      <c r="O307" t="s">
        <v>66</v>
      </c>
      <c r="P307" t="s">
        <v>38</v>
      </c>
      <c r="Q307">
        <v>45</v>
      </c>
      <c r="R307">
        <v>0</v>
      </c>
      <c r="S307" t="s">
        <v>926</v>
      </c>
      <c r="T307" t="s">
        <v>783</v>
      </c>
      <c r="U307" t="s">
        <v>80</v>
      </c>
      <c r="V307" t="s">
        <v>124</v>
      </c>
      <c r="W307" t="s">
        <v>642</v>
      </c>
      <c r="X307" t="s">
        <v>631</v>
      </c>
      <c r="Y307" t="s">
        <v>45</v>
      </c>
      <c r="Z307">
        <v>20</v>
      </c>
      <c r="AA307">
        <v>6</v>
      </c>
      <c r="AB307" t="s">
        <v>46</v>
      </c>
      <c r="AC307" t="s">
        <v>47</v>
      </c>
      <c r="AD307" t="s">
        <v>927</v>
      </c>
      <c r="AE307" t="s">
        <v>928</v>
      </c>
    </row>
    <row r="308" spans="1:31" x14ac:dyDescent="0.2">
      <c r="A308" t="s">
        <v>31</v>
      </c>
      <c r="B308">
        <v>2012</v>
      </c>
      <c r="C308">
        <v>61</v>
      </c>
      <c r="D308" s="1">
        <v>41042</v>
      </c>
      <c r="E308" t="s">
        <v>50</v>
      </c>
      <c r="F308" t="s">
        <v>51</v>
      </c>
      <c r="G308" t="s">
        <v>52</v>
      </c>
      <c r="H308" t="s">
        <v>77</v>
      </c>
      <c r="I308" t="s">
        <v>77</v>
      </c>
      <c r="J308" t="s">
        <v>54</v>
      </c>
      <c r="K308">
        <v>194</v>
      </c>
      <c r="L308">
        <v>6</v>
      </c>
      <c r="M308">
        <v>190</v>
      </c>
      <c r="N308">
        <v>4</v>
      </c>
      <c r="O308" t="s">
        <v>52</v>
      </c>
      <c r="P308" t="s">
        <v>38</v>
      </c>
      <c r="Q308">
        <v>0</v>
      </c>
      <c r="R308">
        <v>4</v>
      </c>
      <c r="S308" t="s">
        <v>78</v>
      </c>
      <c r="T308" t="s">
        <v>440</v>
      </c>
      <c r="U308" t="s">
        <v>312</v>
      </c>
      <c r="V308" t="s">
        <v>819</v>
      </c>
      <c r="W308" t="s">
        <v>105</v>
      </c>
      <c r="X308" t="s">
        <v>826</v>
      </c>
      <c r="Y308" t="s">
        <v>45</v>
      </c>
      <c r="Z308">
        <v>20</v>
      </c>
      <c r="AA308">
        <v>6</v>
      </c>
      <c r="AB308" t="s">
        <v>46</v>
      </c>
      <c r="AC308" t="s">
        <v>47</v>
      </c>
      <c r="AD308" t="s">
        <v>929</v>
      </c>
      <c r="AE308" t="s">
        <v>930</v>
      </c>
    </row>
    <row r="309" spans="1:31" x14ac:dyDescent="0.2">
      <c r="A309" t="s">
        <v>31</v>
      </c>
      <c r="B309">
        <v>2012</v>
      </c>
      <c r="C309">
        <v>62</v>
      </c>
      <c r="D309" s="1">
        <v>41043</v>
      </c>
      <c r="E309" t="s">
        <v>33</v>
      </c>
      <c r="F309" t="s">
        <v>34</v>
      </c>
      <c r="G309" t="s">
        <v>35</v>
      </c>
      <c r="H309" t="s">
        <v>87</v>
      </c>
      <c r="I309" t="s">
        <v>87</v>
      </c>
      <c r="J309" t="s">
        <v>37</v>
      </c>
      <c r="K309">
        <v>171</v>
      </c>
      <c r="L309">
        <v>6</v>
      </c>
      <c r="M309">
        <v>173</v>
      </c>
      <c r="N309">
        <v>5</v>
      </c>
      <c r="O309" t="s">
        <v>87</v>
      </c>
      <c r="P309" t="s">
        <v>38</v>
      </c>
      <c r="Q309">
        <v>0</v>
      </c>
      <c r="R309">
        <v>5</v>
      </c>
      <c r="S309" t="s">
        <v>530</v>
      </c>
      <c r="T309" t="s">
        <v>681</v>
      </c>
      <c r="U309" t="s">
        <v>454</v>
      </c>
      <c r="V309" t="s">
        <v>137</v>
      </c>
      <c r="W309" t="s">
        <v>316</v>
      </c>
      <c r="X309" t="s">
        <v>158</v>
      </c>
      <c r="Y309" t="s">
        <v>45</v>
      </c>
      <c r="Z309">
        <v>20</v>
      </c>
      <c r="AA309">
        <v>6</v>
      </c>
      <c r="AB309" t="s">
        <v>46</v>
      </c>
      <c r="AC309" t="s">
        <v>47</v>
      </c>
      <c r="AD309" t="s">
        <v>921</v>
      </c>
      <c r="AE309" t="s">
        <v>931</v>
      </c>
    </row>
    <row r="310" spans="1:31" x14ac:dyDescent="0.2">
      <c r="A310" t="s">
        <v>31</v>
      </c>
      <c r="B310">
        <v>2012</v>
      </c>
      <c r="C310">
        <v>63</v>
      </c>
      <c r="D310" s="1">
        <v>41043</v>
      </c>
      <c r="E310" t="s">
        <v>75</v>
      </c>
      <c r="F310" t="s">
        <v>76</v>
      </c>
      <c r="G310" t="s">
        <v>36</v>
      </c>
      <c r="H310" t="s">
        <v>53</v>
      </c>
      <c r="I310" t="s">
        <v>53</v>
      </c>
      <c r="J310" t="s">
        <v>37</v>
      </c>
      <c r="K310">
        <v>158</v>
      </c>
      <c r="L310">
        <v>6</v>
      </c>
      <c r="M310">
        <v>160</v>
      </c>
      <c r="N310">
        <v>5</v>
      </c>
      <c r="O310" t="s">
        <v>53</v>
      </c>
      <c r="P310" t="s">
        <v>38</v>
      </c>
      <c r="Q310">
        <v>0</v>
      </c>
      <c r="R310">
        <v>5</v>
      </c>
      <c r="S310" t="s">
        <v>55</v>
      </c>
      <c r="T310" t="s">
        <v>614</v>
      </c>
      <c r="U310" t="s">
        <v>329</v>
      </c>
      <c r="V310" t="s">
        <v>286</v>
      </c>
      <c r="W310" t="s">
        <v>111</v>
      </c>
      <c r="X310" t="s">
        <v>877</v>
      </c>
      <c r="Y310" t="s">
        <v>45</v>
      </c>
      <c r="Z310">
        <v>20</v>
      </c>
      <c r="AA310">
        <v>6</v>
      </c>
      <c r="AB310" t="s">
        <v>46</v>
      </c>
      <c r="AC310" t="s">
        <v>47</v>
      </c>
      <c r="AD310" t="s">
        <v>932</v>
      </c>
      <c r="AE310" t="s">
        <v>933</v>
      </c>
    </row>
    <row r="311" spans="1:31" x14ac:dyDescent="0.2">
      <c r="A311" t="s">
        <v>31</v>
      </c>
      <c r="B311">
        <v>2012</v>
      </c>
      <c r="C311">
        <v>64</v>
      </c>
      <c r="D311" s="1">
        <v>41044</v>
      </c>
      <c r="E311" t="s">
        <v>63</v>
      </c>
      <c r="F311" t="s">
        <v>64</v>
      </c>
      <c r="G311" t="s">
        <v>65</v>
      </c>
      <c r="H311" t="s">
        <v>52</v>
      </c>
      <c r="I311" t="s">
        <v>52</v>
      </c>
      <c r="J311" t="s">
        <v>54</v>
      </c>
      <c r="K311">
        <v>140</v>
      </c>
      <c r="L311">
        <v>5</v>
      </c>
      <c r="M311">
        <v>136</v>
      </c>
      <c r="N311">
        <v>8</v>
      </c>
      <c r="O311" t="s">
        <v>65</v>
      </c>
      <c r="P311" t="s">
        <v>38</v>
      </c>
      <c r="Q311">
        <v>0</v>
      </c>
      <c r="R311">
        <v>5</v>
      </c>
      <c r="S311" t="s">
        <v>934</v>
      </c>
      <c r="T311" t="s">
        <v>440</v>
      </c>
      <c r="U311" t="s">
        <v>312</v>
      </c>
      <c r="V311" t="s">
        <v>819</v>
      </c>
      <c r="W311" t="s">
        <v>105</v>
      </c>
      <c r="X311" t="s">
        <v>880</v>
      </c>
      <c r="Y311" t="s">
        <v>45</v>
      </c>
      <c r="Z311">
        <v>20</v>
      </c>
      <c r="AA311">
        <v>6</v>
      </c>
      <c r="AB311" t="s">
        <v>46</v>
      </c>
      <c r="AC311" t="s">
        <v>47</v>
      </c>
      <c r="AD311" t="s">
        <v>935</v>
      </c>
      <c r="AE311" t="s">
        <v>936</v>
      </c>
    </row>
    <row r="312" spans="1:31" x14ac:dyDescent="0.2">
      <c r="A312" t="s">
        <v>31</v>
      </c>
      <c r="B312">
        <v>2012</v>
      </c>
      <c r="C312">
        <v>65</v>
      </c>
      <c r="D312" s="1">
        <v>41045</v>
      </c>
      <c r="E312" t="s">
        <v>85</v>
      </c>
      <c r="F312" t="s">
        <v>86</v>
      </c>
      <c r="G312" t="s">
        <v>87</v>
      </c>
      <c r="H312" t="s">
        <v>36</v>
      </c>
      <c r="I312" t="s">
        <v>87</v>
      </c>
      <c r="J312" t="s">
        <v>37</v>
      </c>
      <c r="K312">
        <v>108</v>
      </c>
      <c r="L312">
        <v>10</v>
      </c>
      <c r="M312">
        <v>140</v>
      </c>
      <c r="N312">
        <v>7</v>
      </c>
      <c r="O312" t="s">
        <v>36</v>
      </c>
      <c r="P312" t="s">
        <v>38</v>
      </c>
      <c r="Q312">
        <v>32</v>
      </c>
      <c r="R312">
        <v>0</v>
      </c>
      <c r="S312" t="s">
        <v>835</v>
      </c>
      <c r="T312" t="s">
        <v>681</v>
      </c>
      <c r="U312" t="s">
        <v>454</v>
      </c>
      <c r="V312" t="s">
        <v>137</v>
      </c>
      <c r="W312" t="s">
        <v>316</v>
      </c>
      <c r="X312" t="s">
        <v>201</v>
      </c>
      <c r="Y312" t="s">
        <v>45</v>
      </c>
      <c r="Z312">
        <v>20</v>
      </c>
      <c r="AA312">
        <v>6</v>
      </c>
      <c r="AB312" t="s">
        <v>46</v>
      </c>
      <c r="AC312" t="s">
        <v>47</v>
      </c>
      <c r="AD312" t="s">
        <v>937</v>
      </c>
      <c r="AE312" t="s">
        <v>938</v>
      </c>
    </row>
    <row r="313" spans="1:31" x14ac:dyDescent="0.2">
      <c r="A313" t="s">
        <v>31</v>
      </c>
      <c r="B313">
        <v>2012</v>
      </c>
      <c r="C313">
        <v>66</v>
      </c>
      <c r="D313" s="1">
        <v>41046</v>
      </c>
      <c r="E313" t="s">
        <v>578</v>
      </c>
      <c r="F313" t="s">
        <v>579</v>
      </c>
      <c r="G313" t="s">
        <v>52</v>
      </c>
      <c r="H313" t="s">
        <v>53</v>
      </c>
      <c r="I313" t="s">
        <v>52</v>
      </c>
      <c r="J313" t="s">
        <v>37</v>
      </c>
      <c r="K313">
        <v>123</v>
      </c>
      <c r="L313">
        <v>4</v>
      </c>
      <c r="M313">
        <v>120</v>
      </c>
      <c r="N313">
        <v>7</v>
      </c>
      <c r="O313" t="s">
        <v>52</v>
      </c>
      <c r="P313" t="s">
        <v>38</v>
      </c>
      <c r="Q313">
        <v>0</v>
      </c>
      <c r="R313">
        <v>6</v>
      </c>
      <c r="S313" t="s">
        <v>132</v>
      </c>
      <c r="T313" t="s">
        <v>783</v>
      </c>
      <c r="U313" t="s">
        <v>642</v>
      </c>
      <c r="V313" t="s">
        <v>124</v>
      </c>
      <c r="W313" t="s">
        <v>80</v>
      </c>
      <c r="X313" t="s">
        <v>939</v>
      </c>
      <c r="Y313" t="s">
        <v>45</v>
      </c>
      <c r="Z313">
        <v>20</v>
      </c>
      <c r="AA313">
        <v>6</v>
      </c>
      <c r="AB313" t="s">
        <v>46</v>
      </c>
      <c r="AC313" t="s">
        <v>47</v>
      </c>
      <c r="AD313" t="s">
        <v>940</v>
      </c>
      <c r="AE313" t="s">
        <v>941</v>
      </c>
    </row>
    <row r="314" spans="1:31" x14ac:dyDescent="0.2">
      <c r="A314" t="s">
        <v>31</v>
      </c>
      <c r="B314">
        <v>2012</v>
      </c>
      <c r="C314">
        <v>67</v>
      </c>
      <c r="D314" s="1">
        <v>41046</v>
      </c>
      <c r="E314" t="s">
        <v>63</v>
      </c>
      <c r="F314" t="s">
        <v>64</v>
      </c>
      <c r="G314" t="s">
        <v>65</v>
      </c>
      <c r="H314" t="s">
        <v>35</v>
      </c>
      <c r="I314" t="s">
        <v>65</v>
      </c>
      <c r="J314" t="s">
        <v>37</v>
      </c>
      <c r="K314">
        <v>194</v>
      </c>
      <c r="L314">
        <v>9</v>
      </c>
      <c r="M314">
        <v>215</v>
      </c>
      <c r="N314">
        <v>1</v>
      </c>
      <c r="O314" t="s">
        <v>35</v>
      </c>
      <c r="P314" t="s">
        <v>38</v>
      </c>
      <c r="Q314">
        <v>21</v>
      </c>
      <c r="R314">
        <v>0</v>
      </c>
      <c r="S314" t="s">
        <v>292</v>
      </c>
      <c r="T314" t="s">
        <v>440</v>
      </c>
      <c r="U314" t="s">
        <v>312</v>
      </c>
      <c r="V314" t="s">
        <v>105</v>
      </c>
      <c r="W314" t="s">
        <v>819</v>
      </c>
      <c r="X314" t="s">
        <v>880</v>
      </c>
      <c r="Y314" t="s">
        <v>45</v>
      </c>
      <c r="Z314">
        <v>20</v>
      </c>
      <c r="AA314">
        <v>6</v>
      </c>
      <c r="AB314" t="s">
        <v>46</v>
      </c>
      <c r="AC314" t="s">
        <v>47</v>
      </c>
      <c r="AD314" t="s">
        <v>942</v>
      </c>
      <c r="AE314" t="s">
        <v>943</v>
      </c>
    </row>
    <row r="315" spans="1:31" x14ac:dyDescent="0.2">
      <c r="A315" t="s">
        <v>31</v>
      </c>
      <c r="B315">
        <v>2012</v>
      </c>
      <c r="C315">
        <v>68</v>
      </c>
      <c r="D315" s="1">
        <v>41047</v>
      </c>
      <c r="E315" t="s">
        <v>101</v>
      </c>
      <c r="F315" t="s">
        <v>102</v>
      </c>
      <c r="G315" t="s">
        <v>77</v>
      </c>
      <c r="H315" t="s">
        <v>66</v>
      </c>
      <c r="I315" t="s">
        <v>66</v>
      </c>
      <c r="J315" t="s">
        <v>54</v>
      </c>
      <c r="K315">
        <v>128</v>
      </c>
      <c r="L315">
        <v>5</v>
      </c>
      <c r="M315">
        <v>126</v>
      </c>
      <c r="N315">
        <v>8</v>
      </c>
      <c r="O315" t="s">
        <v>77</v>
      </c>
      <c r="P315" t="s">
        <v>38</v>
      </c>
      <c r="Q315">
        <v>0</v>
      </c>
      <c r="R315">
        <v>5</v>
      </c>
      <c r="S315" t="s">
        <v>637</v>
      </c>
      <c r="T315" t="s">
        <v>40</v>
      </c>
      <c r="U315" t="s">
        <v>111</v>
      </c>
      <c r="V315" t="s">
        <v>286</v>
      </c>
      <c r="W315" t="s">
        <v>329</v>
      </c>
      <c r="X315" t="s">
        <v>463</v>
      </c>
      <c r="Y315" t="s">
        <v>45</v>
      </c>
      <c r="Z315">
        <v>20</v>
      </c>
      <c r="AA315">
        <v>6</v>
      </c>
      <c r="AB315" t="s">
        <v>46</v>
      </c>
      <c r="AC315" t="s">
        <v>47</v>
      </c>
      <c r="AD315" t="s">
        <v>944</v>
      </c>
      <c r="AE315" t="s">
        <v>945</v>
      </c>
    </row>
    <row r="316" spans="1:31" x14ac:dyDescent="0.2">
      <c r="A316" t="s">
        <v>31</v>
      </c>
      <c r="B316">
        <v>2012</v>
      </c>
      <c r="C316">
        <v>69</v>
      </c>
      <c r="D316" s="1">
        <v>41048</v>
      </c>
      <c r="E316" t="s">
        <v>578</v>
      </c>
      <c r="F316" t="s">
        <v>579</v>
      </c>
      <c r="G316" t="s">
        <v>52</v>
      </c>
      <c r="H316" t="s">
        <v>65</v>
      </c>
      <c r="I316" t="s">
        <v>65</v>
      </c>
      <c r="J316" t="s">
        <v>37</v>
      </c>
      <c r="K316">
        <v>141</v>
      </c>
      <c r="L316">
        <v>8</v>
      </c>
      <c r="M316">
        <v>145</v>
      </c>
      <c r="N316">
        <v>4</v>
      </c>
      <c r="O316" t="s">
        <v>65</v>
      </c>
      <c r="P316" t="s">
        <v>38</v>
      </c>
      <c r="Q316">
        <v>0</v>
      </c>
      <c r="R316">
        <v>6</v>
      </c>
      <c r="S316" t="s">
        <v>934</v>
      </c>
      <c r="T316" t="s">
        <v>783</v>
      </c>
      <c r="U316" t="s">
        <v>80</v>
      </c>
      <c r="V316" t="s">
        <v>642</v>
      </c>
      <c r="W316" t="s">
        <v>124</v>
      </c>
      <c r="X316" t="s">
        <v>939</v>
      </c>
      <c r="Y316" t="s">
        <v>45</v>
      </c>
      <c r="Z316">
        <v>20</v>
      </c>
      <c r="AA316">
        <v>6</v>
      </c>
      <c r="AB316" t="s">
        <v>46</v>
      </c>
      <c r="AC316" t="s">
        <v>47</v>
      </c>
      <c r="AD316" t="s">
        <v>946</v>
      </c>
      <c r="AE316" t="s">
        <v>947</v>
      </c>
    </row>
    <row r="317" spans="1:31" x14ac:dyDescent="0.2">
      <c r="A317" t="s">
        <v>31</v>
      </c>
      <c r="B317">
        <v>2012</v>
      </c>
      <c r="C317">
        <v>70</v>
      </c>
      <c r="D317" s="1">
        <v>41048</v>
      </c>
      <c r="E317" t="s">
        <v>807</v>
      </c>
      <c r="F317" t="s">
        <v>808</v>
      </c>
      <c r="G317" t="s">
        <v>619</v>
      </c>
      <c r="H317" t="s">
        <v>36</v>
      </c>
      <c r="I317" t="s">
        <v>36</v>
      </c>
      <c r="J317" t="s">
        <v>54</v>
      </c>
      <c r="K317">
        <v>102</v>
      </c>
      <c r="L317">
        <v>8</v>
      </c>
      <c r="M317">
        <v>136</v>
      </c>
      <c r="N317">
        <v>4</v>
      </c>
      <c r="O317" t="s">
        <v>36</v>
      </c>
      <c r="P317" t="s">
        <v>38</v>
      </c>
      <c r="Q317">
        <v>34</v>
      </c>
      <c r="R317">
        <v>0</v>
      </c>
      <c r="S317" t="s">
        <v>829</v>
      </c>
      <c r="T317" t="s">
        <v>681</v>
      </c>
      <c r="U317" t="s">
        <v>316</v>
      </c>
      <c r="V317" t="s">
        <v>137</v>
      </c>
      <c r="W317" t="s">
        <v>454</v>
      </c>
      <c r="X317" t="s">
        <v>621</v>
      </c>
      <c r="Y317" t="s">
        <v>45</v>
      </c>
      <c r="Z317">
        <v>20</v>
      </c>
      <c r="AA317">
        <v>6</v>
      </c>
      <c r="AB317" t="s">
        <v>46</v>
      </c>
      <c r="AC317" t="s">
        <v>47</v>
      </c>
      <c r="AD317" t="s">
        <v>948</v>
      </c>
      <c r="AE317" t="s">
        <v>949</v>
      </c>
    </row>
    <row r="318" spans="1:31" x14ac:dyDescent="0.2">
      <c r="A318" t="s">
        <v>31</v>
      </c>
      <c r="B318">
        <v>2012</v>
      </c>
      <c r="C318">
        <v>71</v>
      </c>
      <c r="D318" s="1">
        <v>41049</v>
      </c>
      <c r="E318" t="s">
        <v>101</v>
      </c>
      <c r="F318" t="s">
        <v>102</v>
      </c>
      <c r="G318" t="s">
        <v>77</v>
      </c>
      <c r="H318" t="s">
        <v>35</v>
      </c>
      <c r="I318" t="s">
        <v>35</v>
      </c>
      <c r="J318" t="s">
        <v>37</v>
      </c>
      <c r="K318">
        <v>132</v>
      </c>
      <c r="L318">
        <v>7</v>
      </c>
      <c r="M318">
        <v>123</v>
      </c>
      <c r="N318">
        <v>9</v>
      </c>
      <c r="O318" t="s">
        <v>77</v>
      </c>
      <c r="P318" t="s">
        <v>38</v>
      </c>
      <c r="Q318">
        <v>9</v>
      </c>
      <c r="R318">
        <v>0</v>
      </c>
      <c r="S318" t="s">
        <v>637</v>
      </c>
      <c r="T318" t="s">
        <v>440</v>
      </c>
      <c r="U318" t="s">
        <v>111</v>
      </c>
      <c r="V318" t="s">
        <v>286</v>
      </c>
      <c r="W318" t="s">
        <v>329</v>
      </c>
      <c r="X318" t="s">
        <v>463</v>
      </c>
      <c r="Y318" t="s">
        <v>45</v>
      </c>
      <c r="Z318">
        <v>20</v>
      </c>
      <c r="AA318">
        <v>6</v>
      </c>
      <c r="AB318" t="s">
        <v>46</v>
      </c>
      <c r="AC318" t="s">
        <v>47</v>
      </c>
      <c r="AD318" t="s">
        <v>950</v>
      </c>
      <c r="AE318" t="s">
        <v>951</v>
      </c>
    </row>
    <row r="319" spans="1:31" x14ac:dyDescent="0.2">
      <c r="A319" t="s">
        <v>31</v>
      </c>
      <c r="B319">
        <v>2012</v>
      </c>
      <c r="C319">
        <v>72</v>
      </c>
      <c r="D319" s="1">
        <v>41049</v>
      </c>
      <c r="E319" t="s">
        <v>95</v>
      </c>
      <c r="F319" t="s">
        <v>96</v>
      </c>
      <c r="G319" t="s">
        <v>66</v>
      </c>
      <c r="H319" t="s">
        <v>87</v>
      </c>
      <c r="I319" t="s">
        <v>66</v>
      </c>
      <c r="J319" t="s">
        <v>54</v>
      </c>
      <c r="K319">
        <v>162</v>
      </c>
      <c r="L319">
        <v>6</v>
      </c>
      <c r="M319">
        <v>163</v>
      </c>
      <c r="N319">
        <v>0</v>
      </c>
      <c r="O319" t="s">
        <v>87</v>
      </c>
      <c r="P319" t="s">
        <v>38</v>
      </c>
      <c r="Q319">
        <v>0</v>
      </c>
      <c r="R319">
        <v>10</v>
      </c>
      <c r="S319" t="s">
        <v>388</v>
      </c>
      <c r="T319" t="s">
        <v>614</v>
      </c>
      <c r="U319" t="s">
        <v>312</v>
      </c>
      <c r="V319" t="s">
        <v>105</v>
      </c>
      <c r="W319" t="s">
        <v>819</v>
      </c>
      <c r="X319" t="s">
        <v>631</v>
      </c>
      <c r="Y319" t="s">
        <v>45</v>
      </c>
      <c r="Z319">
        <v>20</v>
      </c>
      <c r="AA319">
        <v>6</v>
      </c>
      <c r="AB319" t="s">
        <v>46</v>
      </c>
      <c r="AC319" t="s">
        <v>47</v>
      </c>
      <c r="AD319" t="s">
        <v>952</v>
      </c>
      <c r="AE319" t="s">
        <v>953</v>
      </c>
    </row>
    <row r="320" spans="1:31" x14ac:dyDescent="0.2">
      <c r="A320" t="s">
        <v>31</v>
      </c>
      <c r="B320">
        <v>2012</v>
      </c>
      <c r="C320" t="s">
        <v>256</v>
      </c>
      <c r="D320" s="1">
        <v>41051</v>
      </c>
      <c r="E320" t="s">
        <v>807</v>
      </c>
      <c r="F320" t="s">
        <v>808</v>
      </c>
      <c r="G320" t="s">
        <v>65</v>
      </c>
      <c r="H320" t="s">
        <v>36</v>
      </c>
      <c r="I320" t="s">
        <v>36</v>
      </c>
      <c r="J320" t="s">
        <v>54</v>
      </c>
      <c r="K320">
        <v>144</v>
      </c>
      <c r="L320">
        <v>8</v>
      </c>
      <c r="M320">
        <v>162</v>
      </c>
      <c r="N320">
        <v>4</v>
      </c>
      <c r="O320" t="s">
        <v>36</v>
      </c>
      <c r="P320" t="s">
        <v>38</v>
      </c>
      <c r="Q320">
        <v>18</v>
      </c>
      <c r="R320">
        <v>0</v>
      </c>
      <c r="S320" t="s">
        <v>114</v>
      </c>
      <c r="T320" t="s">
        <v>440</v>
      </c>
      <c r="U320" t="s">
        <v>137</v>
      </c>
      <c r="V320" t="s">
        <v>286</v>
      </c>
      <c r="W320" t="s">
        <v>312</v>
      </c>
      <c r="X320" t="s">
        <v>621</v>
      </c>
      <c r="Y320" t="s">
        <v>45</v>
      </c>
      <c r="Z320">
        <v>20</v>
      </c>
      <c r="AA320">
        <v>6</v>
      </c>
      <c r="AB320" t="s">
        <v>46</v>
      </c>
      <c r="AC320" t="s">
        <v>47</v>
      </c>
      <c r="AD320" t="s">
        <v>954</v>
      </c>
      <c r="AE320" t="s">
        <v>955</v>
      </c>
    </row>
    <row r="321" spans="1:31" x14ac:dyDescent="0.2">
      <c r="A321" t="s">
        <v>31</v>
      </c>
      <c r="B321">
        <v>2012</v>
      </c>
      <c r="C321" t="s">
        <v>256</v>
      </c>
      <c r="D321" s="1">
        <v>41052</v>
      </c>
      <c r="E321" t="s">
        <v>33</v>
      </c>
      <c r="F321" t="s">
        <v>34</v>
      </c>
      <c r="G321" t="s">
        <v>53</v>
      </c>
      <c r="H321" t="s">
        <v>87</v>
      </c>
      <c r="I321" t="s">
        <v>87</v>
      </c>
      <c r="J321" t="s">
        <v>37</v>
      </c>
      <c r="K321">
        <v>187</v>
      </c>
      <c r="L321">
        <v>5</v>
      </c>
      <c r="M321">
        <v>149</v>
      </c>
      <c r="N321">
        <v>9</v>
      </c>
      <c r="O321" t="s">
        <v>53</v>
      </c>
      <c r="P321" t="s">
        <v>38</v>
      </c>
      <c r="Q321">
        <v>38</v>
      </c>
      <c r="R321">
        <v>0</v>
      </c>
      <c r="S321" t="s">
        <v>136</v>
      </c>
      <c r="T321" t="s">
        <v>783</v>
      </c>
      <c r="U321" t="s">
        <v>80</v>
      </c>
      <c r="V321" t="s">
        <v>312</v>
      </c>
      <c r="W321" t="s">
        <v>286</v>
      </c>
      <c r="X321" t="s">
        <v>158</v>
      </c>
      <c r="Y321" t="s">
        <v>45</v>
      </c>
      <c r="Z321">
        <v>20</v>
      </c>
      <c r="AA321">
        <v>6</v>
      </c>
      <c r="AB321" t="s">
        <v>46</v>
      </c>
      <c r="AC321" t="s">
        <v>47</v>
      </c>
      <c r="AD321" t="s">
        <v>956</v>
      </c>
      <c r="AE321" t="s">
        <v>957</v>
      </c>
    </row>
    <row r="322" spans="1:31" x14ac:dyDescent="0.2">
      <c r="A322" t="s">
        <v>31</v>
      </c>
      <c r="B322">
        <v>2012</v>
      </c>
      <c r="C322" t="s">
        <v>256</v>
      </c>
      <c r="D322" s="1">
        <v>41054</v>
      </c>
      <c r="E322" t="s">
        <v>108</v>
      </c>
      <c r="F322" t="s">
        <v>109</v>
      </c>
      <c r="G322" t="s">
        <v>65</v>
      </c>
      <c r="H322" t="s">
        <v>53</v>
      </c>
      <c r="I322" t="s">
        <v>65</v>
      </c>
      <c r="J322" t="s">
        <v>37</v>
      </c>
      <c r="K322">
        <v>136</v>
      </c>
      <c r="L322">
        <v>10</v>
      </c>
      <c r="M322">
        <v>222</v>
      </c>
      <c r="N322">
        <v>5</v>
      </c>
      <c r="O322" t="s">
        <v>53</v>
      </c>
      <c r="P322" t="s">
        <v>38</v>
      </c>
      <c r="Q322">
        <v>86</v>
      </c>
      <c r="R322">
        <v>0</v>
      </c>
      <c r="S322" t="s">
        <v>518</v>
      </c>
      <c r="T322" t="s">
        <v>783</v>
      </c>
      <c r="U322" t="s">
        <v>137</v>
      </c>
      <c r="V322" t="s">
        <v>286</v>
      </c>
      <c r="W322" t="s">
        <v>80</v>
      </c>
      <c r="X322" t="s">
        <v>605</v>
      </c>
      <c r="Y322" t="s">
        <v>45</v>
      </c>
      <c r="Z322">
        <v>20</v>
      </c>
      <c r="AA322">
        <v>6</v>
      </c>
      <c r="AB322" t="s">
        <v>46</v>
      </c>
      <c r="AC322" t="s">
        <v>47</v>
      </c>
      <c r="AD322" t="s">
        <v>958</v>
      </c>
      <c r="AE322" t="s">
        <v>959</v>
      </c>
    </row>
    <row r="323" spans="1:31" x14ac:dyDescent="0.2">
      <c r="A323" t="s">
        <v>31</v>
      </c>
      <c r="B323">
        <v>2012</v>
      </c>
      <c r="C323" t="s">
        <v>256</v>
      </c>
      <c r="D323" s="1">
        <v>41056</v>
      </c>
      <c r="E323" t="s">
        <v>108</v>
      </c>
      <c r="F323" t="s">
        <v>109</v>
      </c>
      <c r="G323" t="s">
        <v>36</v>
      </c>
      <c r="H323" t="s">
        <v>53</v>
      </c>
      <c r="I323" t="s">
        <v>53</v>
      </c>
      <c r="J323" t="s">
        <v>54</v>
      </c>
      <c r="K323">
        <v>192</v>
      </c>
      <c r="L323">
        <v>5</v>
      </c>
      <c r="M323">
        <v>190</v>
      </c>
      <c r="N323">
        <v>3</v>
      </c>
      <c r="O323" t="s">
        <v>36</v>
      </c>
      <c r="P323" t="s">
        <v>38</v>
      </c>
      <c r="Q323">
        <v>0</v>
      </c>
      <c r="R323">
        <v>5</v>
      </c>
      <c r="S323" t="s">
        <v>960</v>
      </c>
      <c r="T323" t="s">
        <v>783</v>
      </c>
      <c r="U323" t="s">
        <v>80</v>
      </c>
      <c r="V323" t="s">
        <v>286</v>
      </c>
      <c r="W323" t="s">
        <v>137</v>
      </c>
      <c r="X323" t="s">
        <v>174</v>
      </c>
      <c r="Y323" t="s">
        <v>45</v>
      </c>
      <c r="Z323">
        <v>20</v>
      </c>
      <c r="AA323">
        <v>6</v>
      </c>
      <c r="AB323" t="s">
        <v>46</v>
      </c>
      <c r="AC323" t="s">
        <v>47</v>
      </c>
      <c r="AD323" t="s">
        <v>961</v>
      </c>
      <c r="AE323" t="s">
        <v>962</v>
      </c>
    </row>
    <row r="324" spans="1:31" x14ac:dyDescent="0.2">
      <c r="A324" t="s">
        <v>31</v>
      </c>
      <c r="B324">
        <v>2013</v>
      </c>
      <c r="C324">
        <v>1</v>
      </c>
      <c r="D324" s="1">
        <v>41367</v>
      </c>
      <c r="E324" t="s">
        <v>75</v>
      </c>
      <c r="F324" t="s">
        <v>76</v>
      </c>
      <c r="G324" t="s">
        <v>36</v>
      </c>
      <c r="H324" t="s">
        <v>65</v>
      </c>
      <c r="I324" t="s">
        <v>36</v>
      </c>
      <c r="J324" t="s">
        <v>37</v>
      </c>
      <c r="K324">
        <v>129</v>
      </c>
      <c r="L324">
        <v>4</v>
      </c>
      <c r="M324">
        <v>128</v>
      </c>
      <c r="N324">
        <v>10</v>
      </c>
      <c r="O324" t="s">
        <v>36</v>
      </c>
      <c r="P324" t="s">
        <v>38</v>
      </c>
      <c r="Q324">
        <v>0</v>
      </c>
      <c r="R324">
        <v>6</v>
      </c>
      <c r="S324" t="s">
        <v>835</v>
      </c>
      <c r="T324" t="s">
        <v>963</v>
      </c>
      <c r="U324" t="s">
        <v>111</v>
      </c>
      <c r="V324" t="s">
        <v>286</v>
      </c>
      <c r="W324" t="s">
        <v>316</v>
      </c>
      <c r="X324" t="s">
        <v>877</v>
      </c>
      <c r="Y324" t="s">
        <v>45</v>
      </c>
      <c r="Z324">
        <v>20</v>
      </c>
      <c r="AA324">
        <v>6</v>
      </c>
      <c r="AB324" t="s">
        <v>46</v>
      </c>
      <c r="AC324" t="s">
        <v>47</v>
      </c>
      <c r="AD324" t="s">
        <v>964</v>
      </c>
      <c r="AE324" t="s">
        <v>965</v>
      </c>
    </row>
    <row r="325" spans="1:31" x14ac:dyDescent="0.2">
      <c r="A325" t="s">
        <v>31</v>
      </c>
      <c r="B325">
        <v>2013</v>
      </c>
      <c r="C325">
        <v>2</v>
      </c>
      <c r="D325" s="1">
        <v>41368</v>
      </c>
      <c r="E325" t="s">
        <v>33</v>
      </c>
      <c r="F325" t="s">
        <v>34</v>
      </c>
      <c r="G325" t="s">
        <v>35</v>
      </c>
      <c r="H325" t="s">
        <v>87</v>
      </c>
      <c r="I325" t="s">
        <v>87</v>
      </c>
      <c r="J325" t="s">
        <v>37</v>
      </c>
      <c r="K325">
        <v>156</v>
      </c>
      <c r="L325">
        <v>5</v>
      </c>
      <c r="M325">
        <v>154</v>
      </c>
      <c r="N325">
        <v>5</v>
      </c>
      <c r="O325" t="s">
        <v>35</v>
      </c>
      <c r="P325" t="s">
        <v>38</v>
      </c>
      <c r="Q325">
        <v>2</v>
      </c>
      <c r="R325">
        <v>0</v>
      </c>
      <c r="S325" t="s">
        <v>292</v>
      </c>
      <c r="T325" t="s">
        <v>440</v>
      </c>
      <c r="U325" t="s">
        <v>642</v>
      </c>
      <c r="V325" t="s">
        <v>105</v>
      </c>
      <c r="W325" t="s">
        <v>605</v>
      </c>
      <c r="X325" t="s">
        <v>463</v>
      </c>
      <c r="Y325" t="s">
        <v>45</v>
      </c>
      <c r="Z325">
        <v>20</v>
      </c>
      <c r="AA325">
        <v>6</v>
      </c>
      <c r="AB325" t="s">
        <v>46</v>
      </c>
      <c r="AC325" t="s">
        <v>47</v>
      </c>
      <c r="AD325" t="s">
        <v>966</v>
      </c>
      <c r="AE325" t="s">
        <v>967</v>
      </c>
    </row>
    <row r="326" spans="1:31" x14ac:dyDescent="0.2">
      <c r="A326" t="s">
        <v>31</v>
      </c>
      <c r="B326">
        <v>2013</v>
      </c>
      <c r="C326">
        <v>3</v>
      </c>
      <c r="D326" s="1">
        <v>41369</v>
      </c>
      <c r="E326" t="s">
        <v>101</v>
      </c>
      <c r="F326" t="s">
        <v>102</v>
      </c>
      <c r="G326" t="s">
        <v>968</v>
      </c>
      <c r="H326" t="s">
        <v>619</v>
      </c>
      <c r="I326" t="s">
        <v>619</v>
      </c>
      <c r="J326" t="s">
        <v>37</v>
      </c>
      <c r="K326">
        <v>126</v>
      </c>
      <c r="L326">
        <v>6</v>
      </c>
      <c r="M326">
        <v>104</v>
      </c>
      <c r="N326">
        <v>10</v>
      </c>
      <c r="O326" t="s">
        <v>968</v>
      </c>
      <c r="P326" t="s">
        <v>38</v>
      </c>
      <c r="Q326">
        <v>22</v>
      </c>
      <c r="R326">
        <v>0</v>
      </c>
      <c r="S326" t="s">
        <v>204</v>
      </c>
      <c r="T326" t="s">
        <v>963</v>
      </c>
      <c r="U326" t="s">
        <v>111</v>
      </c>
      <c r="V326" t="s">
        <v>286</v>
      </c>
      <c r="W326" t="s">
        <v>158</v>
      </c>
      <c r="X326" t="s">
        <v>969</v>
      </c>
      <c r="Y326" t="s">
        <v>45</v>
      </c>
      <c r="Z326">
        <v>20</v>
      </c>
      <c r="AA326">
        <v>6</v>
      </c>
      <c r="AB326" t="s">
        <v>46</v>
      </c>
      <c r="AC326" t="s">
        <v>47</v>
      </c>
      <c r="AD326" t="s">
        <v>970</v>
      </c>
      <c r="AE326" t="s">
        <v>971</v>
      </c>
    </row>
    <row r="327" spans="1:31" x14ac:dyDescent="0.2">
      <c r="A327" t="s">
        <v>31</v>
      </c>
      <c r="B327">
        <v>2013</v>
      </c>
      <c r="C327">
        <v>4</v>
      </c>
      <c r="D327" s="1">
        <v>41370</v>
      </c>
      <c r="E327" t="s">
        <v>63</v>
      </c>
      <c r="F327" t="s">
        <v>64</v>
      </c>
      <c r="G327" t="s">
        <v>65</v>
      </c>
      <c r="H327" t="s">
        <v>66</v>
      </c>
      <c r="I327" t="s">
        <v>66</v>
      </c>
      <c r="J327" t="s">
        <v>54</v>
      </c>
      <c r="K327">
        <v>160</v>
      </c>
      <c r="L327">
        <v>6</v>
      </c>
      <c r="M327">
        <v>165</v>
      </c>
      <c r="N327">
        <v>7</v>
      </c>
      <c r="O327" t="s">
        <v>66</v>
      </c>
      <c r="P327" t="s">
        <v>38</v>
      </c>
      <c r="Q327">
        <v>5</v>
      </c>
      <c r="R327">
        <v>0</v>
      </c>
      <c r="S327" t="s">
        <v>270</v>
      </c>
      <c r="T327" t="s">
        <v>440</v>
      </c>
      <c r="U327" t="s">
        <v>454</v>
      </c>
      <c r="V327" t="s">
        <v>105</v>
      </c>
      <c r="W327" t="s">
        <v>146</v>
      </c>
      <c r="X327" t="s">
        <v>631</v>
      </c>
      <c r="Y327" t="s">
        <v>45</v>
      </c>
      <c r="Z327">
        <v>20</v>
      </c>
      <c r="AA327">
        <v>6</v>
      </c>
      <c r="AB327" t="s">
        <v>46</v>
      </c>
      <c r="AC327" t="s">
        <v>47</v>
      </c>
      <c r="AD327" t="s">
        <v>972</v>
      </c>
      <c r="AE327" t="s">
        <v>973</v>
      </c>
    </row>
    <row r="328" spans="1:31" x14ac:dyDescent="0.2">
      <c r="A328" t="s">
        <v>31</v>
      </c>
      <c r="B328">
        <v>2013</v>
      </c>
      <c r="C328">
        <v>5</v>
      </c>
      <c r="D328" s="1">
        <v>41370</v>
      </c>
      <c r="E328" t="s">
        <v>108</v>
      </c>
      <c r="F328" t="s">
        <v>109</v>
      </c>
      <c r="G328" t="s">
        <v>53</v>
      </c>
      <c r="H328" t="s">
        <v>87</v>
      </c>
      <c r="I328" t="s">
        <v>87</v>
      </c>
      <c r="J328" t="s">
        <v>54</v>
      </c>
      <c r="K328">
        <v>139</v>
      </c>
      <c r="L328">
        <v>9</v>
      </c>
      <c r="M328">
        <v>148</v>
      </c>
      <c r="N328">
        <v>6</v>
      </c>
      <c r="O328" t="s">
        <v>87</v>
      </c>
      <c r="P328" t="s">
        <v>38</v>
      </c>
      <c r="Q328">
        <v>9</v>
      </c>
      <c r="R328">
        <v>0</v>
      </c>
      <c r="S328" t="s">
        <v>568</v>
      </c>
      <c r="T328" t="s">
        <v>40</v>
      </c>
      <c r="U328" t="s">
        <v>297</v>
      </c>
      <c r="V328" t="s">
        <v>642</v>
      </c>
      <c r="W328" t="s">
        <v>605</v>
      </c>
      <c r="X328" t="s">
        <v>174</v>
      </c>
      <c r="Y328" t="s">
        <v>45</v>
      </c>
      <c r="Z328">
        <v>20</v>
      </c>
      <c r="AA328">
        <v>6</v>
      </c>
      <c r="AB328" t="s">
        <v>46</v>
      </c>
      <c r="AC328" t="s">
        <v>47</v>
      </c>
      <c r="AD328" t="s">
        <v>974</v>
      </c>
      <c r="AE328" t="s">
        <v>975</v>
      </c>
    </row>
    <row r="329" spans="1:31" x14ac:dyDescent="0.2">
      <c r="A329" t="s">
        <v>31</v>
      </c>
      <c r="B329">
        <v>2013</v>
      </c>
      <c r="C329">
        <v>6</v>
      </c>
      <c r="D329" s="1">
        <v>41371</v>
      </c>
      <c r="E329" t="s">
        <v>807</v>
      </c>
      <c r="F329" t="s">
        <v>808</v>
      </c>
      <c r="G329" t="s">
        <v>619</v>
      </c>
      <c r="H329" t="s">
        <v>52</v>
      </c>
      <c r="I329" t="s">
        <v>619</v>
      </c>
      <c r="J329" t="s">
        <v>54</v>
      </c>
      <c r="K329">
        <v>99</v>
      </c>
      <c r="L329">
        <v>9</v>
      </c>
      <c r="M329">
        <v>100</v>
      </c>
      <c r="N329">
        <v>2</v>
      </c>
      <c r="O329" t="s">
        <v>52</v>
      </c>
      <c r="P329" t="s">
        <v>38</v>
      </c>
      <c r="Q329">
        <v>0</v>
      </c>
      <c r="R329">
        <v>8</v>
      </c>
      <c r="S329" t="s">
        <v>976</v>
      </c>
      <c r="T329" t="s">
        <v>783</v>
      </c>
      <c r="U329" t="s">
        <v>316</v>
      </c>
      <c r="V329" t="s">
        <v>286</v>
      </c>
      <c r="W329" t="s">
        <v>158</v>
      </c>
      <c r="X329" t="s">
        <v>791</v>
      </c>
      <c r="Y329" t="s">
        <v>45</v>
      </c>
      <c r="Z329">
        <v>20</v>
      </c>
      <c r="AA329">
        <v>6</v>
      </c>
      <c r="AB329" t="s">
        <v>46</v>
      </c>
      <c r="AC329" t="s">
        <v>47</v>
      </c>
      <c r="AD329" t="s">
        <v>977</v>
      </c>
      <c r="AE329" t="s">
        <v>978</v>
      </c>
    </row>
    <row r="330" spans="1:31" x14ac:dyDescent="0.2">
      <c r="A330" t="s">
        <v>31</v>
      </c>
      <c r="B330">
        <v>2013</v>
      </c>
      <c r="C330">
        <v>7</v>
      </c>
      <c r="D330" s="1">
        <v>41371</v>
      </c>
      <c r="E330" t="s">
        <v>101</v>
      </c>
      <c r="F330" t="s">
        <v>102</v>
      </c>
      <c r="G330" t="s">
        <v>968</v>
      </c>
      <c r="H330" t="s">
        <v>35</v>
      </c>
      <c r="I330" t="s">
        <v>35</v>
      </c>
      <c r="J330" t="s">
        <v>54</v>
      </c>
      <c r="K330">
        <v>150</v>
      </c>
      <c r="L330">
        <v>7</v>
      </c>
      <c r="M330">
        <v>145</v>
      </c>
      <c r="N330">
        <v>8</v>
      </c>
      <c r="O330" t="s">
        <v>304</v>
      </c>
      <c r="P330" t="s">
        <v>305</v>
      </c>
      <c r="Q330">
        <v>0</v>
      </c>
      <c r="R330">
        <v>0</v>
      </c>
      <c r="S330" t="s">
        <v>979</v>
      </c>
      <c r="T330" t="s">
        <v>963</v>
      </c>
      <c r="U330" t="s">
        <v>146</v>
      </c>
      <c r="V330" t="s">
        <v>111</v>
      </c>
      <c r="W330" t="s">
        <v>605</v>
      </c>
      <c r="X330" t="s">
        <v>969</v>
      </c>
      <c r="Y330" t="s">
        <v>45</v>
      </c>
      <c r="Z330">
        <v>20</v>
      </c>
      <c r="AA330">
        <v>6</v>
      </c>
      <c r="AB330" t="s">
        <v>46</v>
      </c>
      <c r="AC330" t="s">
        <v>47</v>
      </c>
      <c r="AD330" t="s">
        <v>980</v>
      </c>
      <c r="AE330" t="s">
        <v>981</v>
      </c>
    </row>
    <row r="331" spans="1:31" x14ac:dyDescent="0.2">
      <c r="A331" t="s">
        <v>31</v>
      </c>
      <c r="B331">
        <v>2013</v>
      </c>
      <c r="C331">
        <v>8</v>
      </c>
      <c r="D331" s="1">
        <v>41372</v>
      </c>
      <c r="E331" t="s">
        <v>95</v>
      </c>
      <c r="F331" t="s">
        <v>96</v>
      </c>
      <c r="G331" t="s">
        <v>66</v>
      </c>
      <c r="H331" t="s">
        <v>36</v>
      </c>
      <c r="I331" t="s">
        <v>36</v>
      </c>
      <c r="J331" t="s">
        <v>37</v>
      </c>
      <c r="K331">
        <v>144</v>
      </c>
      <c r="L331">
        <v>6</v>
      </c>
      <c r="M331">
        <v>125</v>
      </c>
      <c r="N331">
        <v>10</v>
      </c>
      <c r="O331" t="s">
        <v>66</v>
      </c>
      <c r="P331" t="s">
        <v>38</v>
      </c>
      <c r="Q331">
        <v>19</v>
      </c>
      <c r="R331">
        <v>0</v>
      </c>
      <c r="S331" t="s">
        <v>608</v>
      </c>
      <c r="T331" t="s">
        <v>440</v>
      </c>
      <c r="U331" t="s">
        <v>69</v>
      </c>
      <c r="V331" t="s">
        <v>454</v>
      </c>
      <c r="W331" t="s">
        <v>105</v>
      </c>
      <c r="X331" t="s">
        <v>982</v>
      </c>
      <c r="Y331" t="s">
        <v>45</v>
      </c>
      <c r="Z331">
        <v>20</v>
      </c>
      <c r="AA331">
        <v>6</v>
      </c>
      <c r="AB331" t="s">
        <v>46</v>
      </c>
      <c r="AC331" t="s">
        <v>47</v>
      </c>
      <c r="AD331" t="s">
        <v>983</v>
      </c>
      <c r="AE331" t="s">
        <v>984</v>
      </c>
    </row>
    <row r="332" spans="1:31" x14ac:dyDescent="0.2">
      <c r="A332" t="s">
        <v>31</v>
      </c>
      <c r="B332">
        <v>2013</v>
      </c>
      <c r="C332">
        <v>9</v>
      </c>
      <c r="D332" s="1">
        <v>41373</v>
      </c>
      <c r="E332" t="s">
        <v>33</v>
      </c>
      <c r="F332" t="s">
        <v>34</v>
      </c>
      <c r="G332" t="s">
        <v>35</v>
      </c>
      <c r="H332" t="s">
        <v>968</v>
      </c>
      <c r="I332" t="s">
        <v>968</v>
      </c>
      <c r="J332" t="s">
        <v>54</v>
      </c>
      <c r="K332">
        <v>162</v>
      </c>
      <c r="L332">
        <v>3</v>
      </c>
      <c r="M332">
        <v>161</v>
      </c>
      <c r="N332">
        <v>6</v>
      </c>
      <c r="O332" t="s">
        <v>35</v>
      </c>
      <c r="P332" t="s">
        <v>38</v>
      </c>
      <c r="Q332">
        <v>0</v>
      </c>
      <c r="R332">
        <v>7</v>
      </c>
      <c r="S332" t="s">
        <v>678</v>
      </c>
      <c r="T332" t="s">
        <v>963</v>
      </c>
      <c r="U332" t="s">
        <v>111</v>
      </c>
      <c r="V332" t="s">
        <v>286</v>
      </c>
      <c r="W332" t="s">
        <v>158</v>
      </c>
      <c r="X332" t="s">
        <v>463</v>
      </c>
      <c r="Y332" t="s">
        <v>45</v>
      </c>
      <c r="Z332">
        <v>20</v>
      </c>
      <c r="AA332">
        <v>6</v>
      </c>
      <c r="AB332" t="s">
        <v>46</v>
      </c>
      <c r="AC332" t="s">
        <v>47</v>
      </c>
      <c r="AD332" t="s">
        <v>985</v>
      </c>
      <c r="AE332" t="s">
        <v>986</v>
      </c>
    </row>
    <row r="333" spans="1:31" x14ac:dyDescent="0.2">
      <c r="A333" t="s">
        <v>31</v>
      </c>
      <c r="B333">
        <v>2013</v>
      </c>
      <c r="C333">
        <v>10</v>
      </c>
      <c r="D333" s="1">
        <v>41373</v>
      </c>
      <c r="E333" t="s">
        <v>85</v>
      </c>
      <c r="F333" t="s">
        <v>86</v>
      </c>
      <c r="G333" t="s">
        <v>87</v>
      </c>
      <c r="H333" t="s">
        <v>65</v>
      </c>
      <c r="I333" t="s">
        <v>87</v>
      </c>
      <c r="J333" t="s">
        <v>54</v>
      </c>
      <c r="K333">
        <v>209</v>
      </c>
      <c r="L333">
        <v>5</v>
      </c>
      <c r="M333">
        <v>165</v>
      </c>
      <c r="N333">
        <v>9</v>
      </c>
      <c r="O333" t="s">
        <v>87</v>
      </c>
      <c r="P333" t="s">
        <v>38</v>
      </c>
      <c r="Q333">
        <v>44</v>
      </c>
      <c r="R333">
        <v>0</v>
      </c>
      <c r="S333" t="s">
        <v>237</v>
      </c>
      <c r="T333" t="s">
        <v>783</v>
      </c>
      <c r="U333" t="s">
        <v>297</v>
      </c>
      <c r="V333" t="s">
        <v>642</v>
      </c>
      <c r="W333" t="s">
        <v>316</v>
      </c>
      <c r="X333" t="s">
        <v>201</v>
      </c>
      <c r="Y333" t="s">
        <v>45</v>
      </c>
      <c r="Z333">
        <v>20</v>
      </c>
      <c r="AA333">
        <v>6</v>
      </c>
      <c r="AB333" t="s">
        <v>46</v>
      </c>
      <c r="AC333" t="s">
        <v>47</v>
      </c>
      <c r="AD333" t="s">
        <v>987</v>
      </c>
      <c r="AE333" t="s">
        <v>988</v>
      </c>
    </row>
    <row r="334" spans="1:31" x14ac:dyDescent="0.2">
      <c r="A334" t="s">
        <v>31</v>
      </c>
      <c r="B334">
        <v>2013</v>
      </c>
      <c r="C334">
        <v>11</v>
      </c>
      <c r="D334" s="1">
        <v>41374</v>
      </c>
      <c r="E334" t="s">
        <v>50</v>
      </c>
      <c r="F334" t="s">
        <v>51</v>
      </c>
      <c r="G334" t="s">
        <v>52</v>
      </c>
      <c r="H334" t="s">
        <v>53</v>
      </c>
      <c r="I334" t="s">
        <v>53</v>
      </c>
      <c r="J334" t="s">
        <v>37</v>
      </c>
      <c r="K334">
        <v>138</v>
      </c>
      <c r="L334">
        <v>10</v>
      </c>
      <c r="M334">
        <v>139</v>
      </c>
      <c r="N334">
        <v>0</v>
      </c>
      <c r="O334" t="s">
        <v>53</v>
      </c>
      <c r="P334" t="s">
        <v>38</v>
      </c>
      <c r="Q334">
        <v>0</v>
      </c>
      <c r="R334">
        <v>10</v>
      </c>
      <c r="S334" t="s">
        <v>55</v>
      </c>
      <c r="T334" t="s">
        <v>440</v>
      </c>
      <c r="U334" t="s">
        <v>69</v>
      </c>
      <c r="V334" t="s">
        <v>105</v>
      </c>
      <c r="W334" t="s">
        <v>454</v>
      </c>
      <c r="X334" t="s">
        <v>989</v>
      </c>
      <c r="Y334" t="s">
        <v>45</v>
      </c>
      <c r="Z334">
        <v>20</v>
      </c>
      <c r="AA334">
        <v>6</v>
      </c>
      <c r="AB334" t="s">
        <v>46</v>
      </c>
      <c r="AC334" t="s">
        <v>47</v>
      </c>
      <c r="AD334" t="s">
        <v>990</v>
      </c>
      <c r="AE334" t="s">
        <v>991</v>
      </c>
    </row>
    <row r="335" spans="1:31" x14ac:dyDescent="0.2">
      <c r="A335" t="s">
        <v>31</v>
      </c>
      <c r="B335">
        <v>2013</v>
      </c>
      <c r="C335">
        <v>12</v>
      </c>
      <c r="D335" s="1">
        <v>41375</v>
      </c>
      <c r="E335" t="s">
        <v>33</v>
      </c>
      <c r="F335" t="s">
        <v>34</v>
      </c>
      <c r="G335" t="s">
        <v>35</v>
      </c>
      <c r="H335" t="s">
        <v>36</v>
      </c>
      <c r="I335" t="s">
        <v>35</v>
      </c>
      <c r="J335" t="s">
        <v>37</v>
      </c>
      <c r="K335">
        <v>158</v>
      </c>
      <c r="L335">
        <v>2</v>
      </c>
      <c r="M335">
        <v>154</v>
      </c>
      <c r="N335">
        <v>8</v>
      </c>
      <c r="O335" t="s">
        <v>35</v>
      </c>
      <c r="P335" t="s">
        <v>38</v>
      </c>
      <c r="Q335">
        <v>0</v>
      </c>
      <c r="R335">
        <v>8</v>
      </c>
      <c r="S335" t="s">
        <v>292</v>
      </c>
      <c r="T335" t="s">
        <v>963</v>
      </c>
      <c r="U335" t="s">
        <v>41</v>
      </c>
      <c r="V335" t="s">
        <v>146</v>
      </c>
      <c r="W335" t="s">
        <v>316</v>
      </c>
      <c r="X335" t="s">
        <v>463</v>
      </c>
      <c r="Y335" t="s">
        <v>45</v>
      </c>
      <c r="Z335">
        <v>20</v>
      </c>
      <c r="AA335">
        <v>6</v>
      </c>
      <c r="AB335" t="s">
        <v>46</v>
      </c>
      <c r="AC335" t="s">
        <v>47</v>
      </c>
      <c r="AD335" t="s">
        <v>992</v>
      </c>
      <c r="AE335" t="s">
        <v>993</v>
      </c>
    </row>
    <row r="336" spans="1:31" x14ac:dyDescent="0.2">
      <c r="A336" t="s">
        <v>31</v>
      </c>
      <c r="B336">
        <v>2013</v>
      </c>
      <c r="C336">
        <v>13</v>
      </c>
      <c r="D336" s="1">
        <v>41375</v>
      </c>
      <c r="E336" t="s">
        <v>807</v>
      </c>
      <c r="F336" t="s">
        <v>808</v>
      </c>
      <c r="G336" t="s">
        <v>619</v>
      </c>
      <c r="H336" t="s">
        <v>66</v>
      </c>
      <c r="I336" t="s">
        <v>66</v>
      </c>
      <c r="J336" t="s">
        <v>54</v>
      </c>
      <c r="K336">
        <v>148</v>
      </c>
      <c r="L336">
        <v>3</v>
      </c>
      <c r="M336">
        <v>145</v>
      </c>
      <c r="N336">
        <v>5</v>
      </c>
      <c r="O336" t="s">
        <v>619</v>
      </c>
      <c r="P336" t="s">
        <v>38</v>
      </c>
      <c r="Q336">
        <v>0</v>
      </c>
      <c r="R336">
        <v>7</v>
      </c>
      <c r="S336" t="s">
        <v>994</v>
      </c>
      <c r="T336" t="s">
        <v>783</v>
      </c>
      <c r="U336" t="s">
        <v>297</v>
      </c>
      <c r="V336" t="s">
        <v>605</v>
      </c>
      <c r="W336" t="s">
        <v>642</v>
      </c>
      <c r="X336" t="s">
        <v>791</v>
      </c>
      <c r="Y336" t="s">
        <v>45</v>
      </c>
      <c r="Z336">
        <v>20</v>
      </c>
      <c r="AA336">
        <v>6</v>
      </c>
      <c r="AB336" t="s">
        <v>46</v>
      </c>
      <c r="AC336" t="s">
        <v>47</v>
      </c>
      <c r="AD336" t="s">
        <v>995</v>
      </c>
      <c r="AE336" t="s">
        <v>996</v>
      </c>
    </row>
    <row r="337" spans="1:31" x14ac:dyDescent="0.2">
      <c r="A337" t="s">
        <v>31</v>
      </c>
      <c r="B337">
        <v>2013</v>
      </c>
      <c r="C337">
        <v>14</v>
      </c>
      <c r="D337" s="1">
        <v>41376</v>
      </c>
      <c r="E337" t="s">
        <v>63</v>
      </c>
      <c r="F337" t="s">
        <v>64</v>
      </c>
      <c r="G337" t="s">
        <v>65</v>
      </c>
      <c r="H337" t="s">
        <v>968</v>
      </c>
      <c r="I337" t="s">
        <v>65</v>
      </c>
      <c r="J337" t="s">
        <v>54</v>
      </c>
      <c r="K337">
        <v>114</v>
      </c>
      <c r="L337">
        <v>8</v>
      </c>
      <c r="M337">
        <v>115</v>
      </c>
      <c r="N337">
        <v>7</v>
      </c>
      <c r="O337" t="s">
        <v>968</v>
      </c>
      <c r="P337" t="s">
        <v>38</v>
      </c>
      <c r="Q337">
        <v>0</v>
      </c>
      <c r="R337">
        <v>3</v>
      </c>
      <c r="S337" t="s">
        <v>204</v>
      </c>
      <c r="T337" t="s">
        <v>440</v>
      </c>
      <c r="U337" t="s">
        <v>69</v>
      </c>
      <c r="V337" t="s">
        <v>997</v>
      </c>
      <c r="W337" t="s">
        <v>105</v>
      </c>
      <c r="X337" t="s">
        <v>631</v>
      </c>
      <c r="Y337" t="s">
        <v>45</v>
      </c>
      <c r="Z337">
        <v>20</v>
      </c>
      <c r="AA337">
        <v>6</v>
      </c>
      <c r="AB337" t="s">
        <v>46</v>
      </c>
      <c r="AC337" t="s">
        <v>47</v>
      </c>
      <c r="AD337" t="s">
        <v>998</v>
      </c>
      <c r="AE337" t="s">
        <v>999</v>
      </c>
    </row>
    <row r="338" spans="1:31" x14ac:dyDescent="0.2">
      <c r="A338" t="s">
        <v>31</v>
      </c>
      <c r="B338">
        <v>2013</v>
      </c>
      <c r="C338">
        <v>15</v>
      </c>
      <c r="D338" s="1">
        <v>41377</v>
      </c>
      <c r="E338" t="s">
        <v>85</v>
      </c>
      <c r="F338" t="s">
        <v>86</v>
      </c>
      <c r="G338" t="s">
        <v>87</v>
      </c>
      <c r="H338" t="s">
        <v>619</v>
      </c>
      <c r="I338" t="s">
        <v>87</v>
      </c>
      <c r="J338" t="s">
        <v>54</v>
      </c>
      <c r="K338">
        <v>183</v>
      </c>
      <c r="L338">
        <v>3</v>
      </c>
      <c r="M338">
        <v>142</v>
      </c>
      <c r="N338">
        <v>8</v>
      </c>
      <c r="O338" t="s">
        <v>87</v>
      </c>
      <c r="P338" t="s">
        <v>38</v>
      </c>
      <c r="Q338">
        <v>41</v>
      </c>
      <c r="R338">
        <v>0</v>
      </c>
      <c r="S338" t="s">
        <v>369</v>
      </c>
      <c r="T338" t="s">
        <v>963</v>
      </c>
      <c r="U338" t="s">
        <v>111</v>
      </c>
      <c r="V338" t="s">
        <v>286</v>
      </c>
      <c r="W338" t="s">
        <v>158</v>
      </c>
      <c r="X338" t="s">
        <v>201</v>
      </c>
      <c r="Y338" t="s">
        <v>45</v>
      </c>
      <c r="Z338">
        <v>20</v>
      </c>
      <c r="AA338">
        <v>6</v>
      </c>
      <c r="AB338" t="s">
        <v>46</v>
      </c>
      <c r="AC338" t="s">
        <v>47</v>
      </c>
      <c r="AD338" t="s">
        <v>987</v>
      </c>
      <c r="AE338" t="s">
        <v>1000</v>
      </c>
    </row>
    <row r="339" spans="1:31" x14ac:dyDescent="0.2">
      <c r="A339" t="s">
        <v>31</v>
      </c>
      <c r="B339">
        <v>2013</v>
      </c>
      <c r="C339">
        <v>16</v>
      </c>
      <c r="D339" s="1">
        <v>41377</v>
      </c>
      <c r="E339" t="s">
        <v>108</v>
      </c>
      <c r="F339" t="s">
        <v>109</v>
      </c>
      <c r="G339" t="s">
        <v>53</v>
      </c>
      <c r="H339" t="s">
        <v>35</v>
      </c>
      <c r="I339" t="s">
        <v>53</v>
      </c>
      <c r="J339" t="s">
        <v>37</v>
      </c>
      <c r="K339">
        <v>166</v>
      </c>
      <c r="L339">
        <v>6</v>
      </c>
      <c r="M339">
        <v>165</v>
      </c>
      <c r="N339">
        <v>6</v>
      </c>
      <c r="O339" t="s">
        <v>53</v>
      </c>
      <c r="P339" t="s">
        <v>38</v>
      </c>
      <c r="Q339">
        <v>0</v>
      </c>
      <c r="R339">
        <v>4</v>
      </c>
      <c r="S339" t="s">
        <v>802</v>
      </c>
      <c r="T339" t="s">
        <v>40</v>
      </c>
      <c r="U339" t="s">
        <v>41</v>
      </c>
      <c r="V339" t="s">
        <v>146</v>
      </c>
      <c r="W339" t="s">
        <v>316</v>
      </c>
      <c r="X339" t="s">
        <v>174</v>
      </c>
      <c r="Y339" t="s">
        <v>45</v>
      </c>
      <c r="Z339">
        <v>20</v>
      </c>
      <c r="AA339">
        <v>6</v>
      </c>
      <c r="AB339" t="s">
        <v>46</v>
      </c>
      <c r="AC339" t="s">
        <v>47</v>
      </c>
      <c r="AD339" t="s">
        <v>1001</v>
      </c>
      <c r="AE339" t="s">
        <v>1002</v>
      </c>
    </row>
    <row r="340" spans="1:31" x14ac:dyDescent="0.2">
      <c r="A340" t="s">
        <v>31</v>
      </c>
      <c r="B340">
        <v>2013</v>
      </c>
      <c r="C340">
        <v>17</v>
      </c>
      <c r="D340" s="1">
        <v>41378</v>
      </c>
      <c r="E340" t="s">
        <v>75</v>
      </c>
      <c r="F340" t="s">
        <v>76</v>
      </c>
      <c r="G340" t="s">
        <v>36</v>
      </c>
      <c r="H340" t="s">
        <v>968</v>
      </c>
      <c r="I340" t="s">
        <v>36</v>
      </c>
      <c r="J340" t="s">
        <v>54</v>
      </c>
      <c r="K340">
        <v>180</v>
      </c>
      <c r="L340">
        <v>4</v>
      </c>
      <c r="M340">
        <v>132</v>
      </c>
      <c r="N340">
        <v>7</v>
      </c>
      <c r="O340" t="s">
        <v>36</v>
      </c>
      <c r="P340" t="s">
        <v>38</v>
      </c>
      <c r="Q340">
        <v>48</v>
      </c>
      <c r="R340">
        <v>0</v>
      </c>
      <c r="S340" t="s">
        <v>366</v>
      </c>
      <c r="T340" t="s">
        <v>783</v>
      </c>
      <c r="U340" t="s">
        <v>297</v>
      </c>
      <c r="V340" t="s">
        <v>642</v>
      </c>
      <c r="W340" t="s">
        <v>605</v>
      </c>
      <c r="X340" t="s">
        <v>877</v>
      </c>
      <c r="Y340" t="s">
        <v>45</v>
      </c>
      <c r="Z340">
        <v>20</v>
      </c>
      <c r="AA340">
        <v>6</v>
      </c>
      <c r="AB340" t="s">
        <v>46</v>
      </c>
      <c r="AC340" t="s">
        <v>47</v>
      </c>
      <c r="AD340" t="s">
        <v>1003</v>
      </c>
      <c r="AE340" t="s">
        <v>1004</v>
      </c>
    </row>
    <row r="341" spans="1:31" x14ac:dyDescent="0.2">
      <c r="A341" t="s">
        <v>31</v>
      </c>
      <c r="B341">
        <v>2013</v>
      </c>
      <c r="C341">
        <v>18</v>
      </c>
      <c r="D341" s="1">
        <v>41378</v>
      </c>
      <c r="E341" t="s">
        <v>95</v>
      </c>
      <c r="F341" t="s">
        <v>96</v>
      </c>
      <c r="G341" t="s">
        <v>66</v>
      </c>
      <c r="H341" t="s">
        <v>52</v>
      </c>
      <c r="I341" t="s">
        <v>66</v>
      </c>
      <c r="J341" t="s">
        <v>37</v>
      </c>
      <c r="K341">
        <v>126</v>
      </c>
      <c r="L341">
        <v>4</v>
      </c>
      <c r="M341">
        <v>124</v>
      </c>
      <c r="N341">
        <v>10</v>
      </c>
      <c r="O341" t="s">
        <v>66</v>
      </c>
      <c r="P341" t="s">
        <v>38</v>
      </c>
      <c r="Q341">
        <v>0</v>
      </c>
      <c r="R341">
        <v>6</v>
      </c>
      <c r="S341" t="s">
        <v>1005</v>
      </c>
      <c r="T341" t="s">
        <v>440</v>
      </c>
      <c r="U341" t="s">
        <v>69</v>
      </c>
      <c r="V341" t="s">
        <v>105</v>
      </c>
      <c r="W341" t="s">
        <v>454</v>
      </c>
      <c r="X341" t="s">
        <v>982</v>
      </c>
      <c r="Y341" t="s">
        <v>45</v>
      </c>
      <c r="Z341">
        <v>20</v>
      </c>
      <c r="AA341">
        <v>6</v>
      </c>
      <c r="AB341" t="s">
        <v>46</v>
      </c>
      <c r="AC341" t="s">
        <v>47</v>
      </c>
      <c r="AD341" t="s">
        <v>1006</v>
      </c>
      <c r="AE341" t="s">
        <v>1007</v>
      </c>
    </row>
    <row r="342" spans="1:31" x14ac:dyDescent="0.2">
      <c r="A342" t="s">
        <v>31</v>
      </c>
      <c r="B342">
        <v>2013</v>
      </c>
      <c r="C342">
        <v>19</v>
      </c>
      <c r="D342" s="1">
        <v>41379</v>
      </c>
      <c r="E342" t="s">
        <v>108</v>
      </c>
      <c r="F342" t="s">
        <v>109</v>
      </c>
      <c r="G342" t="s">
        <v>53</v>
      </c>
      <c r="H342" t="s">
        <v>619</v>
      </c>
      <c r="I342" t="s">
        <v>619</v>
      </c>
      <c r="J342" t="s">
        <v>54</v>
      </c>
      <c r="K342">
        <v>135</v>
      </c>
      <c r="L342">
        <v>8</v>
      </c>
      <c r="M342">
        <v>159</v>
      </c>
      <c r="N342">
        <v>5</v>
      </c>
      <c r="O342" t="s">
        <v>619</v>
      </c>
      <c r="P342" t="s">
        <v>38</v>
      </c>
      <c r="Q342">
        <v>24</v>
      </c>
      <c r="R342">
        <v>0</v>
      </c>
      <c r="S342" t="s">
        <v>789</v>
      </c>
      <c r="T342" t="s">
        <v>790</v>
      </c>
      <c r="U342" t="s">
        <v>41</v>
      </c>
      <c r="V342" t="s">
        <v>146</v>
      </c>
      <c r="W342" t="s">
        <v>316</v>
      </c>
      <c r="X342" t="s">
        <v>174</v>
      </c>
      <c r="Y342" t="s">
        <v>45</v>
      </c>
      <c r="Z342">
        <v>20</v>
      </c>
      <c r="AA342">
        <v>6</v>
      </c>
      <c r="AB342" t="s">
        <v>46</v>
      </c>
      <c r="AC342" t="s">
        <v>47</v>
      </c>
      <c r="AD342" t="s">
        <v>1008</v>
      </c>
      <c r="AE342" t="s">
        <v>1009</v>
      </c>
    </row>
    <row r="343" spans="1:31" x14ac:dyDescent="0.2">
      <c r="A343" t="s">
        <v>31</v>
      </c>
      <c r="B343">
        <v>2013</v>
      </c>
      <c r="C343">
        <v>20</v>
      </c>
      <c r="D343" s="1">
        <v>41380</v>
      </c>
      <c r="E343" t="s">
        <v>50</v>
      </c>
      <c r="F343" t="s">
        <v>51</v>
      </c>
      <c r="G343" t="s">
        <v>52</v>
      </c>
      <c r="H343" t="s">
        <v>36</v>
      </c>
      <c r="I343" t="s">
        <v>36</v>
      </c>
      <c r="J343" t="s">
        <v>37</v>
      </c>
      <c r="K343">
        <v>157</v>
      </c>
      <c r="L343">
        <v>9</v>
      </c>
      <c r="M343">
        <v>153</v>
      </c>
      <c r="N343">
        <v>9</v>
      </c>
      <c r="O343" t="s">
        <v>52</v>
      </c>
      <c r="P343" t="s">
        <v>38</v>
      </c>
      <c r="Q343">
        <v>4</v>
      </c>
      <c r="R343">
        <v>0</v>
      </c>
      <c r="S343" t="s">
        <v>1010</v>
      </c>
      <c r="T343" t="s">
        <v>502</v>
      </c>
      <c r="U343" t="s">
        <v>158</v>
      </c>
      <c r="V343" t="s">
        <v>286</v>
      </c>
      <c r="W343" t="s">
        <v>312</v>
      </c>
      <c r="X343" t="s">
        <v>72</v>
      </c>
      <c r="Y343" t="s">
        <v>45</v>
      </c>
      <c r="Z343">
        <v>20</v>
      </c>
      <c r="AA343">
        <v>6</v>
      </c>
      <c r="AB343" t="s">
        <v>46</v>
      </c>
      <c r="AC343" t="s">
        <v>47</v>
      </c>
      <c r="AD343" t="s">
        <v>1011</v>
      </c>
      <c r="AE343" t="s">
        <v>1012</v>
      </c>
    </row>
    <row r="344" spans="1:31" x14ac:dyDescent="0.2">
      <c r="A344" t="s">
        <v>31</v>
      </c>
      <c r="B344">
        <v>2013</v>
      </c>
      <c r="C344">
        <v>21</v>
      </c>
      <c r="D344" s="1">
        <v>41380</v>
      </c>
      <c r="E344" t="s">
        <v>33</v>
      </c>
      <c r="F344" t="s">
        <v>34</v>
      </c>
      <c r="G344" t="s">
        <v>35</v>
      </c>
      <c r="H344" t="s">
        <v>65</v>
      </c>
      <c r="I344" t="s">
        <v>35</v>
      </c>
      <c r="J344" t="s">
        <v>37</v>
      </c>
      <c r="K344">
        <v>167</v>
      </c>
      <c r="L344">
        <v>7</v>
      </c>
      <c r="M344">
        <v>163</v>
      </c>
      <c r="N344">
        <v>7</v>
      </c>
      <c r="O344" t="s">
        <v>304</v>
      </c>
      <c r="P344" t="s">
        <v>305</v>
      </c>
      <c r="Q344">
        <v>0</v>
      </c>
      <c r="R344">
        <v>0</v>
      </c>
      <c r="S344" t="s">
        <v>678</v>
      </c>
      <c r="T344" t="s">
        <v>783</v>
      </c>
      <c r="U344" t="s">
        <v>297</v>
      </c>
      <c r="V344" t="s">
        <v>642</v>
      </c>
      <c r="W344" t="s">
        <v>605</v>
      </c>
      <c r="X344" t="s">
        <v>463</v>
      </c>
      <c r="Y344" t="s">
        <v>45</v>
      </c>
      <c r="Z344">
        <v>20</v>
      </c>
      <c r="AA344">
        <v>6</v>
      </c>
      <c r="AB344" t="s">
        <v>46</v>
      </c>
      <c r="AC344" t="s">
        <v>47</v>
      </c>
      <c r="AD344" t="s">
        <v>1013</v>
      </c>
      <c r="AE344" t="s">
        <v>1014</v>
      </c>
    </row>
    <row r="345" spans="1:31" x14ac:dyDescent="0.2">
      <c r="A345" t="s">
        <v>31</v>
      </c>
      <c r="B345">
        <v>2013</v>
      </c>
      <c r="C345">
        <v>22</v>
      </c>
      <c r="D345" s="1">
        <v>41381</v>
      </c>
      <c r="E345" t="s">
        <v>807</v>
      </c>
      <c r="F345" t="s">
        <v>1015</v>
      </c>
      <c r="G345" t="s">
        <v>619</v>
      </c>
      <c r="H345" t="s">
        <v>968</v>
      </c>
      <c r="I345" t="s">
        <v>619</v>
      </c>
      <c r="J345" t="s">
        <v>37</v>
      </c>
      <c r="K345">
        <v>108</v>
      </c>
      <c r="L345">
        <v>10</v>
      </c>
      <c r="M345">
        <v>119</v>
      </c>
      <c r="N345">
        <v>8</v>
      </c>
      <c r="O345" t="s">
        <v>968</v>
      </c>
      <c r="P345" t="s">
        <v>38</v>
      </c>
      <c r="Q345">
        <v>11</v>
      </c>
      <c r="R345">
        <v>0</v>
      </c>
      <c r="S345" t="s">
        <v>204</v>
      </c>
      <c r="T345" t="s">
        <v>40</v>
      </c>
      <c r="U345" t="s">
        <v>41</v>
      </c>
      <c r="V345" t="s">
        <v>146</v>
      </c>
      <c r="W345" t="s">
        <v>316</v>
      </c>
      <c r="X345" t="s">
        <v>791</v>
      </c>
      <c r="Y345" t="s">
        <v>45</v>
      </c>
      <c r="Z345">
        <v>20</v>
      </c>
      <c r="AA345">
        <v>6</v>
      </c>
      <c r="AB345" t="s">
        <v>46</v>
      </c>
      <c r="AC345" t="s">
        <v>47</v>
      </c>
      <c r="AD345" t="s">
        <v>1016</v>
      </c>
      <c r="AE345" t="s">
        <v>1017</v>
      </c>
    </row>
    <row r="346" spans="1:31" x14ac:dyDescent="0.2">
      <c r="A346" t="s">
        <v>31</v>
      </c>
      <c r="B346">
        <v>2013</v>
      </c>
      <c r="C346">
        <v>23</v>
      </c>
      <c r="D346" s="1">
        <v>41381</v>
      </c>
      <c r="E346" t="s">
        <v>95</v>
      </c>
      <c r="F346" t="s">
        <v>96</v>
      </c>
      <c r="G346" t="s">
        <v>66</v>
      </c>
      <c r="H346" t="s">
        <v>87</v>
      </c>
      <c r="I346" t="s">
        <v>66</v>
      </c>
      <c r="J346" t="s">
        <v>54</v>
      </c>
      <c r="K346">
        <v>179</v>
      </c>
      <c r="L346">
        <v>3</v>
      </c>
      <c r="M346">
        <v>92</v>
      </c>
      <c r="N346">
        <v>10</v>
      </c>
      <c r="O346" t="s">
        <v>66</v>
      </c>
      <c r="P346" t="s">
        <v>38</v>
      </c>
      <c r="Q346">
        <v>87</v>
      </c>
      <c r="R346">
        <v>0</v>
      </c>
      <c r="S346" t="s">
        <v>794</v>
      </c>
      <c r="T346" t="s">
        <v>440</v>
      </c>
      <c r="U346" t="s">
        <v>69</v>
      </c>
      <c r="V346" t="s">
        <v>105</v>
      </c>
      <c r="W346" t="s">
        <v>454</v>
      </c>
      <c r="X346" t="s">
        <v>982</v>
      </c>
      <c r="Y346" t="s">
        <v>45</v>
      </c>
      <c r="Z346">
        <v>20</v>
      </c>
      <c r="AA346">
        <v>6</v>
      </c>
      <c r="AB346" t="s">
        <v>46</v>
      </c>
      <c r="AC346" t="s">
        <v>47</v>
      </c>
      <c r="AD346" t="s">
        <v>1018</v>
      </c>
      <c r="AE346" t="s">
        <v>1019</v>
      </c>
    </row>
    <row r="347" spans="1:31" x14ac:dyDescent="0.2">
      <c r="A347" t="s">
        <v>31</v>
      </c>
      <c r="B347">
        <v>2013</v>
      </c>
      <c r="C347">
        <v>24</v>
      </c>
      <c r="D347" s="1">
        <v>41382</v>
      </c>
      <c r="E347" t="s">
        <v>63</v>
      </c>
      <c r="F347" t="s">
        <v>64</v>
      </c>
      <c r="G347" t="s">
        <v>65</v>
      </c>
      <c r="H347" t="s">
        <v>53</v>
      </c>
      <c r="I347" t="s">
        <v>53</v>
      </c>
      <c r="J347" t="s">
        <v>54</v>
      </c>
      <c r="K347">
        <v>83</v>
      </c>
      <c r="L347">
        <v>10</v>
      </c>
      <c r="M347">
        <v>169</v>
      </c>
      <c r="N347">
        <v>4</v>
      </c>
      <c r="O347" t="s">
        <v>53</v>
      </c>
      <c r="P347" t="s">
        <v>38</v>
      </c>
      <c r="Q347">
        <v>86</v>
      </c>
      <c r="R347">
        <v>0</v>
      </c>
      <c r="S347" t="s">
        <v>55</v>
      </c>
      <c r="T347" t="s">
        <v>783</v>
      </c>
      <c r="U347" t="s">
        <v>297</v>
      </c>
      <c r="V347" t="s">
        <v>642</v>
      </c>
      <c r="W347" t="s">
        <v>605</v>
      </c>
      <c r="X347" t="s">
        <v>631</v>
      </c>
      <c r="Y347" t="s">
        <v>45</v>
      </c>
      <c r="Z347">
        <v>20</v>
      </c>
      <c r="AA347">
        <v>6</v>
      </c>
      <c r="AB347" t="s">
        <v>46</v>
      </c>
      <c r="AC347" t="s">
        <v>47</v>
      </c>
      <c r="AD347" t="s">
        <v>1020</v>
      </c>
      <c r="AE347" t="s">
        <v>1021</v>
      </c>
    </row>
    <row r="348" spans="1:31" x14ac:dyDescent="0.2">
      <c r="A348" t="s">
        <v>31</v>
      </c>
      <c r="B348">
        <v>2013</v>
      </c>
      <c r="C348">
        <v>25</v>
      </c>
      <c r="D348" s="1">
        <v>41383</v>
      </c>
      <c r="E348" t="s">
        <v>101</v>
      </c>
      <c r="F348" t="s">
        <v>102</v>
      </c>
      <c r="G348" t="s">
        <v>968</v>
      </c>
      <c r="H348" t="s">
        <v>52</v>
      </c>
      <c r="I348" t="s">
        <v>52</v>
      </c>
      <c r="J348" t="s">
        <v>54</v>
      </c>
      <c r="K348">
        <v>127</v>
      </c>
      <c r="L348">
        <v>5</v>
      </c>
      <c r="M348">
        <v>123</v>
      </c>
      <c r="N348">
        <v>9</v>
      </c>
      <c r="O348" t="s">
        <v>968</v>
      </c>
      <c r="P348" t="s">
        <v>38</v>
      </c>
      <c r="Q348">
        <v>0</v>
      </c>
      <c r="R348">
        <v>5</v>
      </c>
      <c r="S348" t="s">
        <v>979</v>
      </c>
      <c r="T348" t="s">
        <v>502</v>
      </c>
      <c r="U348" t="s">
        <v>312</v>
      </c>
      <c r="V348" t="s">
        <v>158</v>
      </c>
      <c r="W348" t="s">
        <v>72</v>
      </c>
      <c r="X348" t="s">
        <v>969</v>
      </c>
      <c r="Y348" t="s">
        <v>45</v>
      </c>
      <c r="Z348">
        <v>20</v>
      </c>
      <c r="AA348">
        <v>6</v>
      </c>
      <c r="AB348" t="s">
        <v>46</v>
      </c>
      <c r="AC348" t="s">
        <v>47</v>
      </c>
      <c r="AD348" t="s">
        <v>1022</v>
      </c>
      <c r="AE348" t="s">
        <v>1023</v>
      </c>
    </row>
    <row r="349" spans="1:31" x14ac:dyDescent="0.2">
      <c r="A349" t="s">
        <v>31</v>
      </c>
      <c r="B349">
        <v>2013</v>
      </c>
      <c r="C349">
        <v>26</v>
      </c>
      <c r="D349" s="1">
        <v>41384</v>
      </c>
      <c r="E349" t="s">
        <v>75</v>
      </c>
      <c r="F349" t="s">
        <v>76</v>
      </c>
      <c r="G349" t="s">
        <v>36</v>
      </c>
      <c r="H349" t="s">
        <v>53</v>
      </c>
      <c r="I349" t="s">
        <v>36</v>
      </c>
      <c r="J349" t="s">
        <v>54</v>
      </c>
      <c r="K349">
        <v>119</v>
      </c>
      <c r="L349">
        <v>9</v>
      </c>
      <c r="M349">
        <v>124</v>
      </c>
      <c r="N349">
        <v>6</v>
      </c>
      <c r="O349" t="s">
        <v>53</v>
      </c>
      <c r="P349" t="s">
        <v>38</v>
      </c>
      <c r="Q349">
        <v>0</v>
      </c>
      <c r="R349">
        <v>4</v>
      </c>
      <c r="S349" t="s">
        <v>802</v>
      </c>
      <c r="T349" t="s">
        <v>614</v>
      </c>
      <c r="U349" t="s">
        <v>41</v>
      </c>
      <c r="V349" t="s">
        <v>146</v>
      </c>
      <c r="W349" t="s">
        <v>316</v>
      </c>
      <c r="X349" t="s">
        <v>877</v>
      </c>
      <c r="Y349" t="s">
        <v>45</v>
      </c>
      <c r="Z349">
        <v>20</v>
      </c>
      <c r="AA349">
        <v>6</v>
      </c>
      <c r="AB349" t="s">
        <v>46</v>
      </c>
      <c r="AC349" t="s">
        <v>47</v>
      </c>
      <c r="AD349" t="s">
        <v>1024</v>
      </c>
      <c r="AE349" t="s">
        <v>1025</v>
      </c>
    </row>
    <row r="350" spans="1:31" x14ac:dyDescent="0.2">
      <c r="A350" t="s">
        <v>31</v>
      </c>
      <c r="B350">
        <v>2013</v>
      </c>
      <c r="C350">
        <v>27</v>
      </c>
      <c r="D350" s="1">
        <v>41384</v>
      </c>
      <c r="E350" t="s">
        <v>33</v>
      </c>
      <c r="F350" t="s">
        <v>34</v>
      </c>
      <c r="G350" t="s">
        <v>35</v>
      </c>
      <c r="H350" t="s">
        <v>66</v>
      </c>
      <c r="I350" t="s">
        <v>35</v>
      </c>
      <c r="J350" t="s">
        <v>37</v>
      </c>
      <c r="K350">
        <v>123</v>
      </c>
      <c r="L350">
        <v>3</v>
      </c>
      <c r="M350">
        <v>117</v>
      </c>
      <c r="N350">
        <v>10</v>
      </c>
      <c r="O350" t="s">
        <v>35</v>
      </c>
      <c r="P350" t="s">
        <v>38</v>
      </c>
      <c r="Q350">
        <v>0</v>
      </c>
      <c r="R350">
        <v>7</v>
      </c>
      <c r="S350" t="s">
        <v>240</v>
      </c>
      <c r="T350" t="s">
        <v>440</v>
      </c>
      <c r="U350" t="s">
        <v>69</v>
      </c>
      <c r="V350" t="s">
        <v>105</v>
      </c>
      <c r="W350" t="s">
        <v>454</v>
      </c>
      <c r="X350" t="s">
        <v>463</v>
      </c>
      <c r="Y350" t="s">
        <v>45</v>
      </c>
      <c r="Z350">
        <v>20</v>
      </c>
      <c r="AA350">
        <v>6</v>
      </c>
      <c r="AB350" t="s">
        <v>46</v>
      </c>
      <c r="AC350" t="s">
        <v>47</v>
      </c>
      <c r="AD350" t="s">
        <v>1026</v>
      </c>
      <c r="AE350" t="s">
        <v>1027</v>
      </c>
    </row>
    <row r="351" spans="1:31" x14ac:dyDescent="0.2">
      <c r="A351" t="s">
        <v>31</v>
      </c>
      <c r="B351">
        <v>2013</v>
      </c>
      <c r="C351">
        <v>28</v>
      </c>
      <c r="D351" s="1">
        <v>41385</v>
      </c>
      <c r="E351" t="s">
        <v>63</v>
      </c>
      <c r="F351" t="s">
        <v>64</v>
      </c>
      <c r="G351" t="s">
        <v>65</v>
      </c>
      <c r="H351" t="s">
        <v>87</v>
      </c>
      <c r="I351" t="s">
        <v>87</v>
      </c>
      <c r="J351" t="s">
        <v>54</v>
      </c>
      <c r="K351">
        <v>165</v>
      </c>
      <c r="L351">
        <v>1</v>
      </c>
      <c r="M351">
        <v>161</v>
      </c>
      <c r="N351">
        <v>4</v>
      </c>
      <c r="O351" t="s">
        <v>65</v>
      </c>
      <c r="P351" t="s">
        <v>38</v>
      </c>
      <c r="Q351">
        <v>0</v>
      </c>
      <c r="R351">
        <v>9</v>
      </c>
      <c r="S351" t="s">
        <v>103</v>
      </c>
      <c r="T351" t="s">
        <v>502</v>
      </c>
      <c r="U351" t="s">
        <v>312</v>
      </c>
      <c r="V351" t="s">
        <v>111</v>
      </c>
      <c r="W351" t="s">
        <v>158</v>
      </c>
      <c r="X351" t="s">
        <v>631</v>
      </c>
      <c r="Y351" t="s">
        <v>45</v>
      </c>
      <c r="Z351">
        <v>20</v>
      </c>
      <c r="AA351">
        <v>6</v>
      </c>
      <c r="AB351" t="s">
        <v>46</v>
      </c>
      <c r="AC351" t="s">
        <v>47</v>
      </c>
      <c r="AD351" t="s">
        <v>1028</v>
      </c>
      <c r="AE351" t="s">
        <v>1029</v>
      </c>
    </row>
    <row r="352" spans="1:31" x14ac:dyDescent="0.2">
      <c r="A352" t="s">
        <v>31</v>
      </c>
      <c r="B352">
        <v>2013</v>
      </c>
      <c r="C352">
        <v>29</v>
      </c>
      <c r="D352" s="1">
        <v>41385</v>
      </c>
      <c r="E352" t="s">
        <v>50</v>
      </c>
      <c r="F352" t="s">
        <v>51</v>
      </c>
      <c r="G352" t="s">
        <v>52</v>
      </c>
      <c r="H352" t="s">
        <v>619</v>
      </c>
      <c r="I352" t="s">
        <v>52</v>
      </c>
      <c r="J352" t="s">
        <v>37</v>
      </c>
      <c r="K352">
        <v>186</v>
      </c>
      <c r="L352">
        <v>3</v>
      </c>
      <c r="M352">
        <v>185</v>
      </c>
      <c r="N352">
        <v>4</v>
      </c>
      <c r="O352" t="s">
        <v>52</v>
      </c>
      <c r="P352" t="s">
        <v>38</v>
      </c>
      <c r="Q352">
        <v>0</v>
      </c>
      <c r="R352">
        <v>7</v>
      </c>
      <c r="S352" t="s">
        <v>1030</v>
      </c>
      <c r="T352" t="s">
        <v>783</v>
      </c>
      <c r="U352" t="s">
        <v>297</v>
      </c>
      <c r="V352" t="s">
        <v>605</v>
      </c>
      <c r="W352" t="s">
        <v>642</v>
      </c>
      <c r="X352" t="s">
        <v>989</v>
      </c>
      <c r="Y352" t="s">
        <v>45</v>
      </c>
      <c r="Z352">
        <v>20</v>
      </c>
      <c r="AA352">
        <v>6</v>
      </c>
      <c r="AB352" t="s">
        <v>46</v>
      </c>
      <c r="AC352" t="s">
        <v>47</v>
      </c>
      <c r="AD352" t="s">
        <v>1031</v>
      </c>
      <c r="AE352" t="s">
        <v>1032</v>
      </c>
    </row>
    <row r="353" spans="1:31" x14ac:dyDescent="0.2">
      <c r="A353" t="s">
        <v>31</v>
      </c>
      <c r="B353">
        <v>2013</v>
      </c>
      <c r="C353">
        <v>30</v>
      </c>
      <c r="D353" s="1">
        <v>41386</v>
      </c>
      <c r="E353" t="s">
        <v>108</v>
      </c>
      <c r="F353" t="s">
        <v>109</v>
      </c>
      <c r="G353" t="s">
        <v>53</v>
      </c>
      <c r="H353" t="s">
        <v>66</v>
      </c>
      <c r="I353" t="s">
        <v>66</v>
      </c>
      <c r="J353" t="s">
        <v>54</v>
      </c>
      <c r="K353">
        <v>186</v>
      </c>
      <c r="L353">
        <v>5</v>
      </c>
      <c r="M353">
        <v>185</v>
      </c>
      <c r="N353">
        <v>4</v>
      </c>
      <c r="O353" t="s">
        <v>53</v>
      </c>
      <c r="P353" t="s">
        <v>38</v>
      </c>
      <c r="Q353">
        <v>0</v>
      </c>
      <c r="R353">
        <v>5</v>
      </c>
      <c r="S353" t="s">
        <v>55</v>
      </c>
      <c r="T353" t="s">
        <v>790</v>
      </c>
      <c r="U353" t="s">
        <v>316</v>
      </c>
      <c r="V353" t="s">
        <v>146</v>
      </c>
      <c r="W353" t="s">
        <v>41</v>
      </c>
      <c r="X353" t="s">
        <v>174</v>
      </c>
      <c r="Y353" t="s">
        <v>45</v>
      </c>
      <c r="Z353">
        <v>20</v>
      </c>
      <c r="AA353">
        <v>6</v>
      </c>
      <c r="AB353" t="s">
        <v>46</v>
      </c>
      <c r="AC353" t="s">
        <v>47</v>
      </c>
      <c r="AD353" t="s">
        <v>1033</v>
      </c>
      <c r="AE353" t="s">
        <v>1034</v>
      </c>
    </row>
    <row r="354" spans="1:31" x14ac:dyDescent="0.2">
      <c r="A354" t="s">
        <v>31</v>
      </c>
      <c r="B354">
        <v>2013</v>
      </c>
      <c r="C354">
        <v>31</v>
      </c>
      <c r="D354" s="1">
        <v>41387</v>
      </c>
      <c r="E354" t="s">
        <v>33</v>
      </c>
      <c r="F354" t="s">
        <v>34</v>
      </c>
      <c r="G354" t="s">
        <v>35</v>
      </c>
      <c r="H354" t="s">
        <v>619</v>
      </c>
      <c r="I354" t="s">
        <v>619</v>
      </c>
      <c r="J354" t="s">
        <v>37</v>
      </c>
      <c r="K354">
        <v>263</v>
      </c>
      <c r="L354">
        <v>5</v>
      </c>
      <c r="M354">
        <v>133</v>
      </c>
      <c r="N354">
        <v>9</v>
      </c>
      <c r="O354" t="s">
        <v>35</v>
      </c>
      <c r="P354" t="s">
        <v>38</v>
      </c>
      <c r="Q354">
        <v>130</v>
      </c>
      <c r="R354">
        <v>0</v>
      </c>
      <c r="S354" t="s">
        <v>292</v>
      </c>
      <c r="T354" t="s">
        <v>440</v>
      </c>
      <c r="U354" t="s">
        <v>69</v>
      </c>
      <c r="V354" t="s">
        <v>105</v>
      </c>
      <c r="W354" t="s">
        <v>454</v>
      </c>
      <c r="X354" t="s">
        <v>463</v>
      </c>
      <c r="Y354" t="s">
        <v>45</v>
      </c>
      <c r="Z354">
        <v>20</v>
      </c>
      <c r="AA354">
        <v>6</v>
      </c>
      <c r="AB354" t="s">
        <v>46</v>
      </c>
      <c r="AC354" t="s">
        <v>47</v>
      </c>
      <c r="AD354" t="s">
        <v>1035</v>
      </c>
      <c r="AE354" t="s">
        <v>1036</v>
      </c>
    </row>
    <row r="355" spans="1:31" x14ac:dyDescent="0.2">
      <c r="A355" t="s">
        <v>31</v>
      </c>
      <c r="B355">
        <v>2013</v>
      </c>
      <c r="C355">
        <v>32</v>
      </c>
      <c r="D355" s="1">
        <v>41387</v>
      </c>
      <c r="E355" t="s">
        <v>63</v>
      </c>
      <c r="F355" t="s">
        <v>64</v>
      </c>
      <c r="G355" t="s">
        <v>65</v>
      </c>
      <c r="H355" t="s">
        <v>52</v>
      </c>
      <c r="I355" t="s">
        <v>52</v>
      </c>
      <c r="J355" t="s">
        <v>37</v>
      </c>
      <c r="K355">
        <v>120</v>
      </c>
      <c r="L355">
        <v>7</v>
      </c>
      <c r="M355">
        <v>121</v>
      </c>
      <c r="N355">
        <v>5</v>
      </c>
      <c r="O355" t="s">
        <v>52</v>
      </c>
      <c r="P355" t="s">
        <v>38</v>
      </c>
      <c r="Q355">
        <v>0</v>
      </c>
      <c r="R355">
        <v>5</v>
      </c>
      <c r="S355" t="s">
        <v>565</v>
      </c>
      <c r="T355" t="s">
        <v>783</v>
      </c>
      <c r="U355" t="s">
        <v>642</v>
      </c>
      <c r="V355" t="s">
        <v>605</v>
      </c>
      <c r="W355" t="s">
        <v>297</v>
      </c>
      <c r="X355" t="s">
        <v>631</v>
      </c>
      <c r="Y355" t="s">
        <v>45</v>
      </c>
      <c r="Z355">
        <v>20</v>
      </c>
      <c r="AA355">
        <v>6</v>
      </c>
      <c r="AB355" t="s">
        <v>46</v>
      </c>
      <c r="AC355" t="s">
        <v>47</v>
      </c>
      <c r="AD355" t="s">
        <v>1037</v>
      </c>
      <c r="AE355" t="s">
        <v>1038</v>
      </c>
    </row>
    <row r="356" spans="1:31" x14ac:dyDescent="0.2">
      <c r="A356" t="s">
        <v>31</v>
      </c>
      <c r="B356">
        <v>2013</v>
      </c>
      <c r="C356">
        <v>33</v>
      </c>
      <c r="D356" s="1">
        <v>41388</v>
      </c>
      <c r="E356" t="s">
        <v>75</v>
      </c>
      <c r="F356" t="s">
        <v>76</v>
      </c>
      <c r="G356" t="s">
        <v>36</v>
      </c>
      <c r="H356" t="s">
        <v>87</v>
      </c>
      <c r="I356" t="s">
        <v>36</v>
      </c>
      <c r="J356" t="s">
        <v>54</v>
      </c>
      <c r="K356">
        <v>159</v>
      </c>
      <c r="L356">
        <v>6</v>
      </c>
      <c r="M356">
        <v>162</v>
      </c>
      <c r="N356">
        <v>5</v>
      </c>
      <c r="O356" t="s">
        <v>87</v>
      </c>
      <c r="P356" t="s">
        <v>38</v>
      </c>
      <c r="Q356">
        <v>0</v>
      </c>
      <c r="R356">
        <v>5</v>
      </c>
      <c r="S356" t="s">
        <v>388</v>
      </c>
      <c r="T356" t="s">
        <v>502</v>
      </c>
      <c r="U356" t="s">
        <v>312</v>
      </c>
      <c r="V356" t="s">
        <v>111</v>
      </c>
      <c r="W356" t="s">
        <v>158</v>
      </c>
      <c r="X356" t="s">
        <v>877</v>
      </c>
      <c r="Y356" t="s">
        <v>45</v>
      </c>
      <c r="Z356">
        <v>20</v>
      </c>
      <c r="AA356">
        <v>6</v>
      </c>
      <c r="AB356" t="s">
        <v>46</v>
      </c>
      <c r="AC356" t="s">
        <v>47</v>
      </c>
      <c r="AD356" t="s">
        <v>1039</v>
      </c>
      <c r="AE356" t="s">
        <v>1040</v>
      </c>
    </row>
    <row r="357" spans="1:31" x14ac:dyDescent="0.2">
      <c r="A357" t="s">
        <v>31</v>
      </c>
      <c r="B357">
        <v>2013</v>
      </c>
      <c r="C357">
        <v>34</v>
      </c>
      <c r="D357" s="1">
        <v>41389</v>
      </c>
      <c r="E357" t="s">
        <v>108</v>
      </c>
      <c r="F357" t="s">
        <v>109</v>
      </c>
      <c r="G357" t="s">
        <v>53</v>
      </c>
      <c r="H357" t="s">
        <v>968</v>
      </c>
      <c r="I357" t="s">
        <v>968</v>
      </c>
      <c r="J357" t="s">
        <v>54</v>
      </c>
      <c r="K357">
        <v>160</v>
      </c>
      <c r="L357">
        <v>5</v>
      </c>
      <c r="M357">
        <v>159</v>
      </c>
      <c r="N357">
        <v>6</v>
      </c>
      <c r="O357" t="s">
        <v>53</v>
      </c>
      <c r="P357" t="s">
        <v>38</v>
      </c>
      <c r="Q357">
        <v>0</v>
      </c>
      <c r="R357">
        <v>5</v>
      </c>
      <c r="S357" t="s">
        <v>136</v>
      </c>
      <c r="T357" t="s">
        <v>440</v>
      </c>
      <c r="U357" t="s">
        <v>69</v>
      </c>
      <c r="V357" t="s">
        <v>454</v>
      </c>
      <c r="W357" t="s">
        <v>105</v>
      </c>
      <c r="X357" t="s">
        <v>174</v>
      </c>
      <c r="Y357" t="s">
        <v>45</v>
      </c>
      <c r="Z357">
        <v>20</v>
      </c>
      <c r="AA357">
        <v>6</v>
      </c>
      <c r="AB357" t="s">
        <v>46</v>
      </c>
      <c r="AC357" t="s">
        <v>47</v>
      </c>
      <c r="AD357" t="s">
        <v>1041</v>
      </c>
      <c r="AE357" t="s">
        <v>1042</v>
      </c>
    </row>
    <row r="358" spans="1:31" x14ac:dyDescent="0.2">
      <c r="A358" t="s">
        <v>31</v>
      </c>
      <c r="B358">
        <v>2013</v>
      </c>
      <c r="C358">
        <v>35</v>
      </c>
      <c r="D358" s="1">
        <v>41390</v>
      </c>
      <c r="E358" t="s">
        <v>75</v>
      </c>
      <c r="F358" t="s">
        <v>76</v>
      </c>
      <c r="G358" t="s">
        <v>36</v>
      </c>
      <c r="H358" t="s">
        <v>52</v>
      </c>
      <c r="I358" t="s">
        <v>52</v>
      </c>
      <c r="J358" t="s">
        <v>54</v>
      </c>
      <c r="K358">
        <v>150</v>
      </c>
      <c r="L358">
        <v>4</v>
      </c>
      <c r="M358">
        <v>149</v>
      </c>
      <c r="N358">
        <v>6</v>
      </c>
      <c r="O358" t="s">
        <v>36</v>
      </c>
      <c r="P358" t="s">
        <v>38</v>
      </c>
      <c r="Q358">
        <v>0</v>
      </c>
      <c r="R358">
        <v>6</v>
      </c>
      <c r="S358" t="s">
        <v>359</v>
      </c>
      <c r="T358" t="s">
        <v>502</v>
      </c>
      <c r="U358" t="s">
        <v>158</v>
      </c>
      <c r="V358" t="s">
        <v>111</v>
      </c>
      <c r="W358" t="s">
        <v>312</v>
      </c>
      <c r="X358" t="s">
        <v>877</v>
      </c>
      <c r="Y358" t="s">
        <v>45</v>
      </c>
      <c r="Z358">
        <v>20</v>
      </c>
      <c r="AA358">
        <v>6</v>
      </c>
      <c r="AB358" t="s">
        <v>46</v>
      </c>
      <c r="AC358" t="s">
        <v>47</v>
      </c>
      <c r="AD358" t="s">
        <v>1043</v>
      </c>
      <c r="AE358" t="s">
        <v>1044</v>
      </c>
    </row>
    <row r="359" spans="1:31" x14ac:dyDescent="0.2">
      <c r="A359" t="s">
        <v>31</v>
      </c>
      <c r="B359">
        <v>2013</v>
      </c>
      <c r="C359">
        <v>36</v>
      </c>
      <c r="D359" s="1">
        <v>41391</v>
      </c>
      <c r="E359" t="s">
        <v>95</v>
      </c>
      <c r="F359" t="s">
        <v>96</v>
      </c>
      <c r="G359" t="s">
        <v>66</v>
      </c>
      <c r="H359" t="s">
        <v>968</v>
      </c>
      <c r="I359" t="s">
        <v>968</v>
      </c>
      <c r="J359" t="s">
        <v>54</v>
      </c>
      <c r="K359">
        <v>146</v>
      </c>
      <c r="L359">
        <v>2</v>
      </c>
      <c r="M359">
        <v>144</v>
      </c>
      <c r="N359">
        <v>9</v>
      </c>
      <c r="O359" t="s">
        <v>66</v>
      </c>
      <c r="P359" t="s">
        <v>38</v>
      </c>
      <c r="Q359">
        <v>0</v>
      </c>
      <c r="R359">
        <v>8</v>
      </c>
      <c r="S359" t="s">
        <v>1005</v>
      </c>
      <c r="T359" t="s">
        <v>783</v>
      </c>
      <c r="U359" t="s">
        <v>642</v>
      </c>
      <c r="V359" t="s">
        <v>605</v>
      </c>
      <c r="W359" t="s">
        <v>297</v>
      </c>
      <c r="X359" t="s">
        <v>982</v>
      </c>
      <c r="Y359" t="s">
        <v>45</v>
      </c>
      <c r="Z359">
        <v>20</v>
      </c>
      <c r="AA359">
        <v>6</v>
      </c>
      <c r="AB359" t="s">
        <v>46</v>
      </c>
      <c r="AC359" t="s">
        <v>47</v>
      </c>
      <c r="AD359" t="s">
        <v>1045</v>
      </c>
      <c r="AE359" t="s">
        <v>1046</v>
      </c>
    </row>
    <row r="360" spans="1:31" x14ac:dyDescent="0.2">
      <c r="A360" t="s">
        <v>31</v>
      </c>
      <c r="B360">
        <v>2013</v>
      </c>
      <c r="C360">
        <v>37</v>
      </c>
      <c r="D360" s="1">
        <v>41391</v>
      </c>
      <c r="E360" t="s">
        <v>85</v>
      </c>
      <c r="F360" t="s">
        <v>86</v>
      </c>
      <c r="G360" t="s">
        <v>87</v>
      </c>
      <c r="H360" t="s">
        <v>35</v>
      </c>
      <c r="I360" t="s">
        <v>87</v>
      </c>
      <c r="J360" t="s">
        <v>54</v>
      </c>
      <c r="K360">
        <v>194</v>
      </c>
      <c r="L360">
        <v>7</v>
      </c>
      <c r="M360">
        <v>136</v>
      </c>
      <c r="N360">
        <v>7</v>
      </c>
      <c r="O360" t="s">
        <v>87</v>
      </c>
      <c r="P360" t="s">
        <v>38</v>
      </c>
      <c r="Q360">
        <v>58</v>
      </c>
      <c r="R360">
        <v>0</v>
      </c>
      <c r="S360" t="s">
        <v>388</v>
      </c>
      <c r="T360" t="s">
        <v>40</v>
      </c>
      <c r="U360" t="s">
        <v>41</v>
      </c>
      <c r="V360" t="s">
        <v>316</v>
      </c>
      <c r="W360" t="s">
        <v>146</v>
      </c>
      <c r="X360" t="s">
        <v>201</v>
      </c>
      <c r="Y360" t="s">
        <v>45</v>
      </c>
      <c r="Z360">
        <v>20</v>
      </c>
      <c r="AA360">
        <v>6</v>
      </c>
      <c r="AB360" t="s">
        <v>46</v>
      </c>
      <c r="AC360" t="s">
        <v>47</v>
      </c>
      <c r="AD360" t="s">
        <v>1047</v>
      </c>
      <c r="AE360" t="s">
        <v>1048</v>
      </c>
    </row>
    <row r="361" spans="1:31" x14ac:dyDescent="0.2">
      <c r="A361" t="s">
        <v>31</v>
      </c>
      <c r="B361">
        <v>2013</v>
      </c>
      <c r="C361">
        <v>38</v>
      </c>
      <c r="D361" s="1">
        <v>41392</v>
      </c>
      <c r="E361" t="s">
        <v>108</v>
      </c>
      <c r="F361" t="s">
        <v>109</v>
      </c>
      <c r="G361" t="s">
        <v>53</v>
      </c>
      <c r="H361" t="s">
        <v>36</v>
      </c>
      <c r="I361" t="s">
        <v>36</v>
      </c>
      <c r="J361" t="s">
        <v>37</v>
      </c>
      <c r="K361">
        <v>200</v>
      </c>
      <c r="L361">
        <v>3</v>
      </c>
      <c r="M361">
        <v>186</v>
      </c>
      <c r="N361">
        <v>4</v>
      </c>
      <c r="O361" t="s">
        <v>53</v>
      </c>
      <c r="P361" t="s">
        <v>38</v>
      </c>
      <c r="Q361">
        <v>14</v>
      </c>
      <c r="R361">
        <v>0</v>
      </c>
      <c r="S361" t="s">
        <v>55</v>
      </c>
      <c r="T361" t="s">
        <v>440</v>
      </c>
      <c r="U361" t="s">
        <v>69</v>
      </c>
      <c r="V361" t="s">
        <v>286</v>
      </c>
      <c r="W361" t="s">
        <v>105</v>
      </c>
      <c r="X361" t="s">
        <v>174</v>
      </c>
      <c r="Y361" t="s">
        <v>45</v>
      </c>
      <c r="Z361">
        <v>20</v>
      </c>
      <c r="AA361">
        <v>6</v>
      </c>
      <c r="AB361" t="s">
        <v>46</v>
      </c>
      <c r="AC361" t="s">
        <v>47</v>
      </c>
      <c r="AD361" t="s">
        <v>1049</v>
      </c>
      <c r="AE361" t="s">
        <v>1050</v>
      </c>
    </row>
    <row r="362" spans="1:31" x14ac:dyDescent="0.2">
      <c r="A362" t="s">
        <v>31</v>
      </c>
      <c r="B362">
        <v>2013</v>
      </c>
      <c r="C362">
        <v>39</v>
      </c>
      <c r="D362" s="1">
        <v>41392</v>
      </c>
      <c r="E362" t="s">
        <v>1051</v>
      </c>
      <c r="F362" t="s">
        <v>1052</v>
      </c>
      <c r="G362" t="s">
        <v>65</v>
      </c>
      <c r="H362" t="s">
        <v>619</v>
      </c>
      <c r="I362" t="s">
        <v>619</v>
      </c>
      <c r="J362" t="s">
        <v>37</v>
      </c>
      <c r="K362">
        <v>164</v>
      </c>
      <c r="L362">
        <v>5</v>
      </c>
      <c r="M362">
        <v>149</v>
      </c>
      <c r="N362">
        <v>4</v>
      </c>
      <c r="O362" t="s">
        <v>65</v>
      </c>
      <c r="P362" t="s">
        <v>38</v>
      </c>
      <c r="Q362">
        <v>15</v>
      </c>
      <c r="R362">
        <v>0</v>
      </c>
      <c r="S362" t="s">
        <v>512</v>
      </c>
      <c r="T362" t="s">
        <v>502</v>
      </c>
      <c r="U362" t="s">
        <v>158</v>
      </c>
      <c r="V362" t="s">
        <v>111</v>
      </c>
      <c r="W362" t="s">
        <v>312</v>
      </c>
      <c r="X362" t="s">
        <v>939</v>
      </c>
      <c r="Y362" t="s">
        <v>45</v>
      </c>
      <c r="Z362">
        <v>20</v>
      </c>
      <c r="AA362">
        <v>6</v>
      </c>
      <c r="AB362" t="s">
        <v>46</v>
      </c>
      <c r="AC362" t="s">
        <v>47</v>
      </c>
      <c r="AD362" t="s">
        <v>1053</v>
      </c>
      <c r="AE362" t="s">
        <v>1054</v>
      </c>
    </row>
    <row r="363" spans="1:31" x14ac:dyDescent="0.2">
      <c r="A363" t="s">
        <v>31</v>
      </c>
      <c r="B363">
        <v>2013</v>
      </c>
      <c r="C363">
        <v>40</v>
      </c>
      <c r="D363" s="1">
        <v>41393</v>
      </c>
      <c r="E363" t="s">
        <v>95</v>
      </c>
      <c r="F363" t="s">
        <v>96</v>
      </c>
      <c r="G363" t="s">
        <v>66</v>
      </c>
      <c r="H363" t="s">
        <v>35</v>
      </c>
      <c r="I363" t="s">
        <v>66</v>
      </c>
      <c r="J363" t="s">
        <v>37</v>
      </c>
      <c r="K363">
        <v>173</v>
      </c>
      <c r="L363">
        <v>6</v>
      </c>
      <c r="M363">
        <v>171</v>
      </c>
      <c r="N363">
        <v>6</v>
      </c>
      <c r="O363" t="s">
        <v>66</v>
      </c>
      <c r="P363" t="s">
        <v>38</v>
      </c>
      <c r="Q363">
        <v>0</v>
      </c>
      <c r="R363">
        <v>4</v>
      </c>
      <c r="S363" t="s">
        <v>1055</v>
      </c>
      <c r="T363" t="s">
        <v>783</v>
      </c>
      <c r="U363" t="s">
        <v>297</v>
      </c>
      <c r="V363" t="s">
        <v>605</v>
      </c>
      <c r="W363" t="s">
        <v>642</v>
      </c>
      <c r="X363" t="s">
        <v>982</v>
      </c>
      <c r="Y363" t="s">
        <v>45</v>
      </c>
      <c r="Z363">
        <v>20</v>
      </c>
      <c r="AA363">
        <v>6</v>
      </c>
      <c r="AB363" t="s">
        <v>46</v>
      </c>
      <c r="AC363" t="s">
        <v>47</v>
      </c>
      <c r="AD363" t="s">
        <v>1056</v>
      </c>
      <c r="AE363" t="s">
        <v>1057</v>
      </c>
    </row>
    <row r="364" spans="1:31" x14ac:dyDescent="0.2">
      <c r="A364" t="s">
        <v>31</v>
      </c>
      <c r="B364">
        <v>2013</v>
      </c>
      <c r="C364">
        <v>41</v>
      </c>
      <c r="D364" s="1">
        <v>41393</v>
      </c>
      <c r="E364" t="s">
        <v>85</v>
      </c>
      <c r="F364" t="s">
        <v>86</v>
      </c>
      <c r="G364" t="s">
        <v>87</v>
      </c>
      <c r="H364" t="s">
        <v>52</v>
      </c>
      <c r="I364" t="s">
        <v>87</v>
      </c>
      <c r="J364" t="s">
        <v>54</v>
      </c>
      <c r="K364">
        <v>174</v>
      </c>
      <c r="L364">
        <v>3</v>
      </c>
      <c r="M364">
        <v>170</v>
      </c>
      <c r="N364">
        <v>10</v>
      </c>
      <c r="O364" t="s">
        <v>87</v>
      </c>
      <c r="P364" t="s">
        <v>38</v>
      </c>
      <c r="Q364">
        <v>4</v>
      </c>
      <c r="R364">
        <v>0</v>
      </c>
      <c r="S364" t="s">
        <v>369</v>
      </c>
      <c r="T364" t="s">
        <v>40</v>
      </c>
      <c r="U364" t="s">
        <v>41</v>
      </c>
      <c r="V364" t="s">
        <v>146</v>
      </c>
      <c r="W364" t="s">
        <v>316</v>
      </c>
      <c r="X364" t="s">
        <v>201</v>
      </c>
      <c r="Y364" t="s">
        <v>45</v>
      </c>
      <c r="Z364">
        <v>20</v>
      </c>
      <c r="AA364">
        <v>6</v>
      </c>
      <c r="AB364" t="s">
        <v>46</v>
      </c>
      <c r="AC364" t="s">
        <v>47</v>
      </c>
      <c r="AD364" t="s">
        <v>1047</v>
      </c>
      <c r="AE364" t="s">
        <v>1058</v>
      </c>
    </row>
    <row r="365" spans="1:31" x14ac:dyDescent="0.2">
      <c r="A365" t="s">
        <v>31</v>
      </c>
      <c r="B365">
        <v>2013</v>
      </c>
      <c r="C365">
        <v>42</v>
      </c>
      <c r="D365" s="1">
        <v>41394</v>
      </c>
      <c r="E365" t="s">
        <v>807</v>
      </c>
      <c r="F365" t="s">
        <v>808</v>
      </c>
      <c r="G365" t="s">
        <v>619</v>
      </c>
      <c r="H365" t="s">
        <v>53</v>
      </c>
      <c r="I365" t="s">
        <v>53</v>
      </c>
      <c r="J365" t="s">
        <v>54</v>
      </c>
      <c r="K365">
        <v>127</v>
      </c>
      <c r="L365">
        <v>9</v>
      </c>
      <c r="M365">
        <v>164</v>
      </c>
      <c r="N365">
        <v>3</v>
      </c>
      <c r="O365" t="s">
        <v>53</v>
      </c>
      <c r="P365" t="s">
        <v>38</v>
      </c>
      <c r="Q365">
        <v>37</v>
      </c>
      <c r="R365">
        <v>0</v>
      </c>
      <c r="S365" t="s">
        <v>136</v>
      </c>
      <c r="T365" t="s">
        <v>440</v>
      </c>
      <c r="U365" t="s">
        <v>454</v>
      </c>
      <c r="V365" t="s">
        <v>286</v>
      </c>
      <c r="W365" t="s">
        <v>69</v>
      </c>
      <c r="X365" t="s">
        <v>791</v>
      </c>
      <c r="Y365" t="s">
        <v>45</v>
      </c>
      <c r="Z365">
        <v>20</v>
      </c>
      <c r="AA365">
        <v>6</v>
      </c>
      <c r="AB365" t="s">
        <v>46</v>
      </c>
      <c r="AC365" t="s">
        <v>47</v>
      </c>
      <c r="AD365" t="s">
        <v>1059</v>
      </c>
      <c r="AE365" t="s">
        <v>1060</v>
      </c>
    </row>
    <row r="366" spans="1:31" x14ac:dyDescent="0.2">
      <c r="A366" t="s">
        <v>31</v>
      </c>
      <c r="B366">
        <v>2013</v>
      </c>
      <c r="C366">
        <v>43</v>
      </c>
      <c r="D366" s="1">
        <v>41395</v>
      </c>
      <c r="E366" t="s">
        <v>101</v>
      </c>
      <c r="F366" t="s">
        <v>102</v>
      </c>
      <c r="G366" t="s">
        <v>968</v>
      </c>
      <c r="H366" t="s">
        <v>87</v>
      </c>
      <c r="I366" t="s">
        <v>87</v>
      </c>
      <c r="J366" t="s">
        <v>54</v>
      </c>
      <c r="K366">
        <v>130</v>
      </c>
      <c r="L366">
        <v>3</v>
      </c>
      <c r="M366">
        <v>129</v>
      </c>
      <c r="N366">
        <v>4</v>
      </c>
      <c r="O366" t="s">
        <v>968</v>
      </c>
      <c r="P366" t="s">
        <v>38</v>
      </c>
      <c r="Q366">
        <v>0</v>
      </c>
      <c r="R366">
        <v>7</v>
      </c>
      <c r="S366" t="s">
        <v>684</v>
      </c>
      <c r="T366" t="s">
        <v>40</v>
      </c>
      <c r="U366" t="s">
        <v>41</v>
      </c>
      <c r="V366" t="s">
        <v>316</v>
      </c>
      <c r="W366" t="s">
        <v>146</v>
      </c>
      <c r="X366" t="s">
        <v>969</v>
      </c>
      <c r="Y366" t="s">
        <v>45</v>
      </c>
      <c r="Z366">
        <v>20</v>
      </c>
      <c r="AA366">
        <v>6</v>
      </c>
      <c r="AB366" t="s">
        <v>46</v>
      </c>
      <c r="AC366" t="s">
        <v>47</v>
      </c>
      <c r="AD366" t="s">
        <v>1061</v>
      </c>
      <c r="AE366" t="s">
        <v>1047</v>
      </c>
    </row>
    <row r="367" spans="1:31" x14ac:dyDescent="0.2">
      <c r="A367" t="s">
        <v>31</v>
      </c>
      <c r="B367">
        <v>2013</v>
      </c>
      <c r="C367">
        <v>44</v>
      </c>
      <c r="D367" s="1">
        <v>41395</v>
      </c>
      <c r="E367" t="s">
        <v>1051</v>
      </c>
      <c r="F367" t="s">
        <v>1052</v>
      </c>
      <c r="G367" t="s">
        <v>65</v>
      </c>
      <c r="H367" t="s">
        <v>36</v>
      </c>
      <c r="I367" t="s">
        <v>36</v>
      </c>
      <c r="J367" t="s">
        <v>54</v>
      </c>
      <c r="K367">
        <v>137</v>
      </c>
      <c r="L367">
        <v>3</v>
      </c>
      <c r="M367">
        <v>136</v>
      </c>
      <c r="N367">
        <v>7</v>
      </c>
      <c r="O367" t="s">
        <v>65</v>
      </c>
      <c r="P367" t="s">
        <v>38</v>
      </c>
      <c r="Q367">
        <v>0</v>
      </c>
      <c r="R367">
        <v>7</v>
      </c>
      <c r="S367" t="s">
        <v>512</v>
      </c>
      <c r="T367" t="s">
        <v>502</v>
      </c>
      <c r="U367" t="s">
        <v>312</v>
      </c>
      <c r="V367" t="s">
        <v>158</v>
      </c>
      <c r="W367" t="s">
        <v>111</v>
      </c>
      <c r="X367" t="s">
        <v>939</v>
      </c>
      <c r="Y367" t="s">
        <v>45</v>
      </c>
      <c r="Z367">
        <v>20</v>
      </c>
      <c r="AA367">
        <v>6</v>
      </c>
      <c r="AB367" t="s">
        <v>46</v>
      </c>
      <c r="AC367" t="s">
        <v>47</v>
      </c>
      <c r="AD367" t="s">
        <v>1062</v>
      </c>
      <c r="AE367" t="s">
        <v>1063</v>
      </c>
    </row>
    <row r="368" spans="1:31" x14ac:dyDescent="0.2">
      <c r="A368" t="s">
        <v>31</v>
      </c>
      <c r="B368">
        <v>2013</v>
      </c>
      <c r="C368">
        <v>45</v>
      </c>
      <c r="D368" s="1">
        <v>41396</v>
      </c>
      <c r="E368" t="s">
        <v>108</v>
      </c>
      <c r="F368" t="s">
        <v>109</v>
      </c>
      <c r="G368" t="s">
        <v>53</v>
      </c>
      <c r="H368" t="s">
        <v>52</v>
      </c>
      <c r="I368" t="s">
        <v>53</v>
      </c>
      <c r="J368" t="s">
        <v>54</v>
      </c>
      <c r="K368">
        <v>186</v>
      </c>
      <c r="L368">
        <v>4</v>
      </c>
      <c r="M368">
        <v>171</v>
      </c>
      <c r="N368">
        <v>6</v>
      </c>
      <c r="O368" t="s">
        <v>53</v>
      </c>
      <c r="P368" t="s">
        <v>38</v>
      </c>
      <c r="Q368">
        <v>15</v>
      </c>
      <c r="R368">
        <v>0</v>
      </c>
      <c r="S368" t="s">
        <v>248</v>
      </c>
      <c r="T368" t="s">
        <v>614</v>
      </c>
      <c r="U368" t="s">
        <v>297</v>
      </c>
      <c r="V368" t="s">
        <v>642</v>
      </c>
      <c r="W368" t="s">
        <v>1064</v>
      </c>
      <c r="X368" t="s">
        <v>174</v>
      </c>
      <c r="Y368" t="s">
        <v>45</v>
      </c>
      <c r="Z368">
        <v>20</v>
      </c>
      <c r="AA368">
        <v>6</v>
      </c>
      <c r="AB368" t="s">
        <v>46</v>
      </c>
      <c r="AC368" t="s">
        <v>47</v>
      </c>
      <c r="AD368" t="s">
        <v>1065</v>
      </c>
      <c r="AE368" t="s">
        <v>1066</v>
      </c>
    </row>
    <row r="369" spans="1:31" x14ac:dyDescent="0.2">
      <c r="A369" t="s">
        <v>31</v>
      </c>
      <c r="B369">
        <v>2013</v>
      </c>
      <c r="C369">
        <v>46</v>
      </c>
      <c r="D369" s="1">
        <v>41396</v>
      </c>
      <c r="E369" t="s">
        <v>807</v>
      </c>
      <c r="F369" t="s">
        <v>808</v>
      </c>
      <c r="G369" t="s">
        <v>619</v>
      </c>
      <c r="H369" t="s">
        <v>35</v>
      </c>
      <c r="I369" t="s">
        <v>35</v>
      </c>
      <c r="J369" t="s">
        <v>54</v>
      </c>
      <c r="K369">
        <v>170</v>
      </c>
      <c r="L369">
        <v>9</v>
      </c>
      <c r="M369">
        <v>187</v>
      </c>
      <c r="N369">
        <v>3</v>
      </c>
      <c r="O369" t="s">
        <v>35</v>
      </c>
      <c r="P369" t="s">
        <v>38</v>
      </c>
      <c r="Q369">
        <v>17</v>
      </c>
      <c r="R369">
        <v>0</v>
      </c>
      <c r="S369" t="s">
        <v>300</v>
      </c>
      <c r="T369" t="s">
        <v>440</v>
      </c>
      <c r="U369" t="s">
        <v>69</v>
      </c>
      <c r="V369" t="s">
        <v>105</v>
      </c>
      <c r="W369" t="s">
        <v>997</v>
      </c>
      <c r="X369" t="s">
        <v>791</v>
      </c>
      <c r="Y369" t="s">
        <v>45</v>
      </c>
      <c r="Z369">
        <v>20</v>
      </c>
      <c r="AA369">
        <v>6</v>
      </c>
      <c r="AB369" t="s">
        <v>46</v>
      </c>
      <c r="AC369" t="s">
        <v>47</v>
      </c>
      <c r="AD369" t="s">
        <v>1067</v>
      </c>
      <c r="AE369" t="s">
        <v>1068</v>
      </c>
    </row>
    <row r="370" spans="1:31" x14ac:dyDescent="0.2">
      <c r="A370" t="s">
        <v>31</v>
      </c>
      <c r="B370">
        <v>2013</v>
      </c>
      <c r="C370">
        <v>47</v>
      </c>
      <c r="D370" s="1">
        <v>41397</v>
      </c>
      <c r="E370" t="s">
        <v>75</v>
      </c>
      <c r="F370" t="s">
        <v>76</v>
      </c>
      <c r="G370" t="s">
        <v>36</v>
      </c>
      <c r="H370" t="s">
        <v>66</v>
      </c>
      <c r="I370" t="s">
        <v>66</v>
      </c>
      <c r="J370" t="s">
        <v>54</v>
      </c>
      <c r="K370">
        <v>133</v>
      </c>
      <c r="L370">
        <v>2</v>
      </c>
      <c r="M370">
        <v>132</v>
      </c>
      <c r="N370">
        <v>6</v>
      </c>
      <c r="O370" t="s">
        <v>36</v>
      </c>
      <c r="P370" t="s">
        <v>38</v>
      </c>
      <c r="Q370">
        <v>0</v>
      </c>
      <c r="R370">
        <v>8</v>
      </c>
      <c r="S370" t="s">
        <v>114</v>
      </c>
      <c r="T370" t="s">
        <v>502</v>
      </c>
      <c r="U370" t="s">
        <v>312</v>
      </c>
      <c r="V370" t="s">
        <v>158</v>
      </c>
      <c r="W370" t="s">
        <v>111</v>
      </c>
      <c r="X370" t="s">
        <v>877</v>
      </c>
      <c r="Y370" t="s">
        <v>45</v>
      </c>
      <c r="Z370">
        <v>20</v>
      </c>
      <c r="AA370">
        <v>6</v>
      </c>
      <c r="AB370" t="s">
        <v>46</v>
      </c>
      <c r="AC370" t="s">
        <v>47</v>
      </c>
      <c r="AD370" t="s">
        <v>1069</v>
      </c>
      <c r="AE370" t="s">
        <v>1070</v>
      </c>
    </row>
    <row r="371" spans="1:31" x14ac:dyDescent="0.2">
      <c r="A371" t="s">
        <v>31</v>
      </c>
      <c r="B371">
        <v>2013</v>
      </c>
      <c r="C371">
        <v>48</v>
      </c>
      <c r="D371" s="1">
        <v>41398</v>
      </c>
      <c r="E371" t="s">
        <v>101</v>
      </c>
      <c r="F371" t="s">
        <v>102</v>
      </c>
      <c r="G371" t="s">
        <v>968</v>
      </c>
      <c r="H371" t="s">
        <v>65</v>
      </c>
      <c r="I371" t="s">
        <v>65</v>
      </c>
      <c r="J371" t="s">
        <v>54</v>
      </c>
      <c r="K371">
        <v>81</v>
      </c>
      <c r="L371">
        <v>4</v>
      </c>
      <c r="M371">
        <v>80</v>
      </c>
      <c r="N371">
        <v>10</v>
      </c>
      <c r="O371" t="s">
        <v>968</v>
      </c>
      <c r="P371" t="s">
        <v>38</v>
      </c>
      <c r="Q371">
        <v>0</v>
      </c>
      <c r="R371">
        <v>6</v>
      </c>
      <c r="S371" t="s">
        <v>1071</v>
      </c>
      <c r="T371" t="s">
        <v>40</v>
      </c>
      <c r="U371" t="s">
        <v>41</v>
      </c>
      <c r="V371" t="s">
        <v>316</v>
      </c>
      <c r="W371" t="s">
        <v>146</v>
      </c>
      <c r="X371" t="s">
        <v>969</v>
      </c>
      <c r="Y371" t="s">
        <v>45</v>
      </c>
      <c r="Z371">
        <v>20</v>
      </c>
      <c r="AA371">
        <v>6</v>
      </c>
      <c r="AB371" t="s">
        <v>46</v>
      </c>
      <c r="AC371" t="s">
        <v>47</v>
      </c>
      <c r="AD371" t="s">
        <v>1072</v>
      </c>
      <c r="AE371" t="s">
        <v>1073</v>
      </c>
    </row>
    <row r="372" spans="1:31" x14ac:dyDescent="0.2">
      <c r="A372" t="s">
        <v>31</v>
      </c>
      <c r="B372">
        <v>2013</v>
      </c>
      <c r="C372">
        <v>49</v>
      </c>
      <c r="D372" s="1">
        <v>41399</v>
      </c>
      <c r="E372" t="s">
        <v>85</v>
      </c>
      <c r="F372" t="s">
        <v>86</v>
      </c>
      <c r="G372" t="s">
        <v>87</v>
      </c>
      <c r="H372" t="s">
        <v>53</v>
      </c>
      <c r="I372" t="s">
        <v>87</v>
      </c>
      <c r="J372" t="s">
        <v>54</v>
      </c>
      <c r="K372">
        <v>139</v>
      </c>
      <c r="L372">
        <v>5</v>
      </c>
      <c r="M372">
        <v>79</v>
      </c>
      <c r="N372">
        <v>10</v>
      </c>
      <c r="O372" t="s">
        <v>87</v>
      </c>
      <c r="P372" t="s">
        <v>38</v>
      </c>
      <c r="Q372">
        <v>60</v>
      </c>
      <c r="R372">
        <v>0</v>
      </c>
      <c r="S372" t="s">
        <v>1074</v>
      </c>
      <c r="T372" t="s">
        <v>502</v>
      </c>
      <c r="U372" t="s">
        <v>312</v>
      </c>
      <c r="V372" t="s">
        <v>158</v>
      </c>
      <c r="W372" t="s">
        <v>111</v>
      </c>
      <c r="X372" t="s">
        <v>201</v>
      </c>
      <c r="Y372" t="s">
        <v>45</v>
      </c>
      <c r="Z372">
        <v>20</v>
      </c>
      <c r="AA372">
        <v>6</v>
      </c>
      <c r="AB372" t="s">
        <v>46</v>
      </c>
      <c r="AC372" t="s">
        <v>47</v>
      </c>
      <c r="AD372" t="s">
        <v>1075</v>
      </c>
      <c r="AE372" t="s">
        <v>1076</v>
      </c>
    </row>
    <row r="373" spans="1:31" x14ac:dyDescent="0.2">
      <c r="A373" t="s">
        <v>31</v>
      </c>
      <c r="B373">
        <v>2013</v>
      </c>
      <c r="C373">
        <v>50</v>
      </c>
      <c r="D373" s="1">
        <v>41399</v>
      </c>
      <c r="E373" t="s">
        <v>95</v>
      </c>
      <c r="F373" t="s">
        <v>96</v>
      </c>
      <c r="G373" t="s">
        <v>66</v>
      </c>
      <c r="H373" t="s">
        <v>619</v>
      </c>
      <c r="I373" t="s">
        <v>619</v>
      </c>
      <c r="J373" t="s">
        <v>54</v>
      </c>
      <c r="K373">
        <v>182</v>
      </c>
      <c r="L373">
        <v>5</v>
      </c>
      <c r="M373">
        <v>178</v>
      </c>
      <c r="N373">
        <v>4</v>
      </c>
      <c r="O373" t="s">
        <v>66</v>
      </c>
      <c r="P373" t="s">
        <v>38</v>
      </c>
      <c r="Q373">
        <v>0</v>
      </c>
      <c r="R373">
        <v>5</v>
      </c>
      <c r="S373" t="s">
        <v>794</v>
      </c>
      <c r="T373" t="s">
        <v>440</v>
      </c>
      <c r="U373" t="s">
        <v>105</v>
      </c>
      <c r="V373" t="s">
        <v>656</v>
      </c>
      <c r="W373" t="s">
        <v>69</v>
      </c>
      <c r="X373" t="s">
        <v>982</v>
      </c>
      <c r="Y373" t="s">
        <v>45</v>
      </c>
      <c r="Z373">
        <v>20</v>
      </c>
      <c r="AA373">
        <v>6</v>
      </c>
      <c r="AB373" t="s">
        <v>46</v>
      </c>
      <c r="AC373" t="s">
        <v>47</v>
      </c>
      <c r="AD373" t="s">
        <v>1077</v>
      </c>
      <c r="AE373" t="s">
        <v>1078</v>
      </c>
    </row>
    <row r="374" spans="1:31" x14ac:dyDescent="0.2">
      <c r="A374" t="s">
        <v>31</v>
      </c>
      <c r="B374">
        <v>2013</v>
      </c>
      <c r="C374">
        <v>51</v>
      </c>
      <c r="D374" s="1">
        <v>41400</v>
      </c>
      <c r="E374" t="s">
        <v>50</v>
      </c>
      <c r="F374" t="s">
        <v>51</v>
      </c>
      <c r="G374" t="s">
        <v>52</v>
      </c>
      <c r="H374" t="s">
        <v>35</v>
      </c>
      <c r="I374" t="s">
        <v>52</v>
      </c>
      <c r="J374" t="s">
        <v>37</v>
      </c>
      <c r="K374">
        <v>194</v>
      </c>
      <c r="L374">
        <v>4</v>
      </c>
      <c r="M374">
        <v>190</v>
      </c>
      <c r="N374">
        <v>3</v>
      </c>
      <c r="O374" t="s">
        <v>52</v>
      </c>
      <c r="P374" t="s">
        <v>38</v>
      </c>
      <c r="Q374">
        <v>0</v>
      </c>
      <c r="R374">
        <v>6</v>
      </c>
      <c r="S374" t="s">
        <v>1030</v>
      </c>
      <c r="T374" t="s">
        <v>790</v>
      </c>
      <c r="U374" t="s">
        <v>642</v>
      </c>
      <c r="V374" t="s">
        <v>1064</v>
      </c>
      <c r="W374" t="s">
        <v>605</v>
      </c>
      <c r="X374" t="s">
        <v>989</v>
      </c>
      <c r="Y374" t="s">
        <v>45</v>
      </c>
      <c r="Z374">
        <v>20</v>
      </c>
      <c r="AA374">
        <v>6</v>
      </c>
      <c r="AB374" t="s">
        <v>46</v>
      </c>
      <c r="AC374" t="s">
        <v>47</v>
      </c>
      <c r="AD374" t="s">
        <v>1079</v>
      </c>
      <c r="AE374" t="s">
        <v>1080</v>
      </c>
    </row>
    <row r="375" spans="1:31" x14ac:dyDescent="0.2">
      <c r="A375" t="s">
        <v>31</v>
      </c>
      <c r="B375">
        <v>2013</v>
      </c>
      <c r="C375">
        <v>52</v>
      </c>
      <c r="D375" s="1">
        <v>41401</v>
      </c>
      <c r="E375" t="s">
        <v>95</v>
      </c>
      <c r="F375" t="s">
        <v>96</v>
      </c>
      <c r="G375" t="s">
        <v>66</v>
      </c>
      <c r="H375" t="s">
        <v>65</v>
      </c>
      <c r="I375" t="s">
        <v>65</v>
      </c>
      <c r="J375" t="s">
        <v>54</v>
      </c>
      <c r="K375">
        <v>155</v>
      </c>
      <c r="L375">
        <v>1</v>
      </c>
      <c r="M375">
        <v>154</v>
      </c>
      <c r="N375">
        <v>4</v>
      </c>
      <c r="O375" t="s">
        <v>66</v>
      </c>
      <c r="P375" t="s">
        <v>38</v>
      </c>
      <c r="Q375">
        <v>0</v>
      </c>
      <c r="R375">
        <v>9</v>
      </c>
      <c r="S375" t="s">
        <v>794</v>
      </c>
      <c r="T375" t="s">
        <v>440</v>
      </c>
      <c r="U375" t="s">
        <v>69</v>
      </c>
      <c r="V375" t="s">
        <v>656</v>
      </c>
      <c r="W375" t="s">
        <v>105</v>
      </c>
      <c r="X375" t="s">
        <v>982</v>
      </c>
      <c r="Y375" t="s">
        <v>45</v>
      </c>
      <c r="Z375">
        <v>20</v>
      </c>
      <c r="AA375">
        <v>6</v>
      </c>
      <c r="AB375" t="s">
        <v>46</v>
      </c>
      <c r="AC375" t="s">
        <v>47</v>
      </c>
      <c r="AD375" t="s">
        <v>1081</v>
      </c>
      <c r="AE375" t="s">
        <v>1082</v>
      </c>
    </row>
    <row r="376" spans="1:31" x14ac:dyDescent="0.2">
      <c r="A376" t="s">
        <v>31</v>
      </c>
      <c r="B376">
        <v>2013</v>
      </c>
      <c r="C376">
        <v>53</v>
      </c>
      <c r="D376" s="1">
        <v>41401</v>
      </c>
      <c r="E376" t="s">
        <v>85</v>
      </c>
      <c r="F376" t="s">
        <v>86</v>
      </c>
      <c r="G376" t="s">
        <v>87</v>
      </c>
      <c r="H376" t="s">
        <v>36</v>
      </c>
      <c r="I376" t="s">
        <v>87</v>
      </c>
      <c r="J376" t="s">
        <v>54</v>
      </c>
      <c r="K376">
        <v>170</v>
      </c>
      <c r="L376">
        <v>6</v>
      </c>
      <c r="M376">
        <v>105</v>
      </c>
      <c r="N376">
        <v>10</v>
      </c>
      <c r="O376" t="s">
        <v>87</v>
      </c>
      <c r="P376" t="s">
        <v>38</v>
      </c>
      <c r="Q376">
        <v>65</v>
      </c>
      <c r="R376">
        <v>0</v>
      </c>
      <c r="S376" t="s">
        <v>266</v>
      </c>
      <c r="T376" t="s">
        <v>502</v>
      </c>
      <c r="U376" t="s">
        <v>312</v>
      </c>
      <c r="V376" t="s">
        <v>111</v>
      </c>
      <c r="W376" t="s">
        <v>158</v>
      </c>
      <c r="X376" t="s">
        <v>201</v>
      </c>
      <c r="Y376" t="s">
        <v>45</v>
      </c>
      <c r="Z376">
        <v>20</v>
      </c>
      <c r="AA376">
        <v>6</v>
      </c>
      <c r="AB376" t="s">
        <v>46</v>
      </c>
      <c r="AC376" t="s">
        <v>47</v>
      </c>
      <c r="AD376" t="s">
        <v>1083</v>
      </c>
      <c r="AE376" t="s">
        <v>1084</v>
      </c>
    </row>
    <row r="377" spans="1:31" x14ac:dyDescent="0.2">
      <c r="A377" t="s">
        <v>31</v>
      </c>
      <c r="B377">
        <v>2013</v>
      </c>
      <c r="C377">
        <v>54</v>
      </c>
      <c r="D377" s="1">
        <v>41402</v>
      </c>
      <c r="E377" t="s">
        <v>101</v>
      </c>
      <c r="F377" t="s">
        <v>102</v>
      </c>
      <c r="G377" t="s">
        <v>968</v>
      </c>
      <c r="H377" t="s">
        <v>53</v>
      </c>
      <c r="I377" t="s">
        <v>968</v>
      </c>
      <c r="J377" t="s">
        <v>37</v>
      </c>
      <c r="K377">
        <v>146</v>
      </c>
      <c r="L377">
        <v>8</v>
      </c>
      <c r="M377">
        <v>223</v>
      </c>
      <c r="N377">
        <v>3</v>
      </c>
      <c r="O377" t="s">
        <v>53</v>
      </c>
      <c r="P377" t="s">
        <v>38</v>
      </c>
      <c r="Q377">
        <v>77</v>
      </c>
      <c r="R377">
        <v>0</v>
      </c>
      <c r="S377" t="s">
        <v>248</v>
      </c>
      <c r="T377" t="s">
        <v>614</v>
      </c>
      <c r="U377" t="s">
        <v>454</v>
      </c>
      <c r="V377" t="s">
        <v>1064</v>
      </c>
      <c r="W377" t="s">
        <v>605</v>
      </c>
      <c r="X377" t="s">
        <v>969</v>
      </c>
      <c r="Y377" t="s">
        <v>45</v>
      </c>
      <c r="Z377">
        <v>20</v>
      </c>
      <c r="AA377">
        <v>6</v>
      </c>
      <c r="AB377" t="s">
        <v>46</v>
      </c>
      <c r="AC377" t="s">
        <v>47</v>
      </c>
      <c r="AD377" t="s">
        <v>1085</v>
      </c>
      <c r="AE377" t="s">
        <v>1086</v>
      </c>
    </row>
    <row r="378" spans="1:31" x14ac:dyDescent="0.2">
      <c r="A378" t="s">
        <v>31</v>
      </c>
      <c r="B378">
        <v>2013</v>
      </c>
      <c r="C378">
        <v>55</v>
      </c>
      <c r="D378" s="1">
        <v>41403</v>
      </c>
      <c r="E378" t="s">
        <v>50</v>
      </c>
      <c r="F378" t="s">
        <v>51</v>
      </c>
      <c r="G378" t="s">
        <v>52</v>
      </c>
      <c r="H378" t="s">
        <v>66</v>
      </c>
      <c r="I378" t="s">
        <v>66</v>
      </c>
      <c r="J378" t="s">
        <v>37</v>
      </c>
      <c r="K378">
        <v>145</v>
      </c>
      <c r="L378">
        <v>6</v>
      </c>
      <c r="M378">
        <v>147</v>
      </c>
      <c r="N378">
        <v>2</v>
      </c>
      <c r="O378" t="s">
        <v>66</v>
      </c>
      <c r="P378" t="s">
        <v>38</v>
      </c>
      <c r="Q378">
        <v>0</v>
      </c>
      <c r="R378">
        <v>8</v>
      </c>
      <c r="S378" t="s">
        <v>1087</v>
      </c>
      <c r="T378" t="s">
        <v>502</v>
      </c>
      <c r="U378" t="s">
        <v>312</v>
      </c>
      <c r="V378" t="s">
        <v>111</v>
      </c>
      <c r="W378" t="s">
        <v>158</v>
      </c>
      <c r="X378" t="s">
        <v>989</v>
      </c>
      <c r="Y378" t="s">
        <v>45</v>
      </c>
      <c r="Z378">
        <v>20</v>
      </c>
      <c r="AA378">
        <v>6</v>
      </c>
      <c r="AB378" t="s">
        <v>46</v>
      </c>
      <c r="AC378" t="s">
        <v>47</v>
      </c>
      <c r="AD378" t="s">
        <v>1088</v>
      </c>
      <c r="AE378" t="s">
        <v>1089</v>
      </c>
    </row>
    <row r="379" spans="1:31" x14ac:dyDescent="0.2">
      <c r="A379" t="s">
        <v>31</v>
      </c>
      <c r="B379">
        <v>2013</v>
      </c>
      <c r="C379">
        <v>56</v>
      </c>
      <c r="D379" s="1">
        <v>41403</v>
      </c>
      <c r="E379" t="s">
        <v>807</v>
      </c>
      <c r="F379" t="s">
        <v>808</v>
      </c>
      <c r="G379" t="s">
        <v>619</v>
      </c>
      <c r="H379" t="s">
        <v>36</v>
      </c>
      <c r="I379" t="s">
        <v>36</v>
      </c>
      <c r="J379" t="s">
        <v>54</v>
      </c>
      <c r="K379">
        <v>106</v>
      </c>
      <c r="L379">
        <v>10</v>
      </c>
      <c r="M379">
        <v>152</v>
      </c>
      <c r="N379">
        <v>6</v>
      </c>
      <c r="O379" t="s">
        <v>36</v>
      </c>
      <c r="P379" t="s">
        <v>38</v>
      </c>
      <c r="Q379">
        <v>46</v>
      </c>
      <c r="R379">
        <v>0</v>
      </c>
      <c r="S379" t="s">
        <v>366</v>
      </c>
      <c r="T379" t="s">
        <v>40</v>
      </c>
      <c r="U379" t="s">
        <v>41</v>
      </c>
      <c r="V379" t="s">
        <v>316</v>
      </c>
      <c r="W379" t="s">
        <v>286</v>
      </c>
      <c r="X379" t="s">
        <v>791</v>
      </c>
      <c r="Y379" t="s">
        <v>45</v>
      </c>
      <c r="Z379">
        <v>20</v>
      </c>
      <c r="AA379">
        <v>6</v>
      </c>
      <c r="AB379" t="s">
        <v>46</v>
      </c>
      <c r="AC379" t="s">
        <v>47</v>
      </c>
      <c r="AD379" t="s">
        <v>1090</v>
      </c>
      <c r="AE379" t="s">
        <v>1091</v>
      </c>
    </row>
    <row r="380" spans="1:31" x14ac:dyDescent="0.2">
      <c r="A380" t="s">
        <v>31</v>
      </c>
      <c r="B380">
        <v>2013</v>
      </c>
      <c r="C380">
        <v>57</v>
      </c>
      <c r="D380" s="1">
        <v>41404</v>
      </c>
      <c r="E380" t="s">
        <v>63</v>
      </c>
      <c r="F380" t="s">
        <v>64</v>
      </c>
      <c r="G380" t="s">
        <v>65</v>
      </c>
      <c r="H380" t="s">
        <v>35</v>
      </c>
      <c r="I380" t="s">
        <v>65</v>
      </c>
      <c r="J380" t="s">
        <v>37</v>
      </c>
      <c r="K380">
        <v>179</v>
      </c>
      <c r="L380">
        <v>7</v>
      </c>
      <c r="M380">
        <v>183</v>
      </c>
      <c r="N380">
        <v>4</v>
      </c>
      <c r="O380" t="s">
        <v>35</v>
      </c>
      <c r="P380" t="s">
        <v>38</v>
      </c>
      <c r="Q380">
        <v>4</v>
      </c>
      <c r="R380">
        <v>0</v>
      </c>
      <c r="S380" t="s">
        <v>585</v>
      </c>
      <c r="T380" t="s">
        <v>783</v>
      </c>
      <c r="U380" t="s">
        <v>1064</v>
      </c>
      <c r="V380" t="s">
        <v>605</v>
      </c>
      <c r="W380" t="s">
        <v>642</v>
      </c>
      <c r="X380" t="s">
        <v>631</v>
      </c>
      <c r="Y380" t="s">
        <v>45</v>
      </c>
      <c r="Z380">
        <v>20</v>
      </c>
      <c r="AA380">
        <v>6</v>
      </c>
      <c r="AB380" t="s">
        <v>46</v>
      </c>
      <c r="AC380" t="s">
        <v>47</v>
      </c>
      <c r="AD380" t="s">
        <v>1092</v>
      </c>
      <c r="AE380" t="s">
        <v>1093</v>
      </c>
    </row>
    <row r="381" spans="1:31" x14ac:dyDescent="0.2">
      <c r="A381" t="s">
        <v>31</v>
      </c>
      <c r="B381">
        <v>2013</v>
      </c>
      <c r="C381">
        <v>58</v>
      </c>
      <c r="D381" s="1">
        <v>41405</v>
      </c>
      <c r="E381" t="s">
        <v>807</v>
      </c>
      <c r="F381" t="s">
        <v>808</v>
      </c>
      <c r="G381" t="s">
        <v>619</v>
      </c>
      <c r="H381" t="s">
        <v>87</v>
      </c>
      <c r="I381" t="s">
        <v>619</v>
      </c>
      <c r="J381" t="s">
        <v>54</v>
      </c>
      <c r="K381">
        <v>112</v>
      </c>
      <c r="L381">
        <v>8</v>
      </c>
      <c r="M381">
        <v>116</v>
      </c>
      <c r="N381">
        <v>5</v>
      </c>
      <c r="O381" t="s">
        <v>87</v>
      </c>
      <c r="P381" t="s">
        <v>38</v>
      </c>
      <c r="Q381">
        <v>0</v>
      </c>
      <c r="R381">
        <v>5</v>
      </c>
      <c r="S381" t="s">
        <v>1074</v>
      </c>
      <c r="T381" t="s">
        <v>40</v>
      </c>
      <c r="U381" t="s">
        <v>41</v>
      </c>
      <c r="V381" t="s">
        <v>146</v>
      </c>
      <c r="W381" t="s">
        <v>316</v>
      </c>
      <c r="X381" t="s">
        <v>201</v>
      </c>
      <c r="Y381" t="s">
        <v>45</v>
      </c>
      <c r="Z381">
        <v>20</v>
      </c>
      <c r="AA381">
        <v>6</v>
      </c>
      <c r="AB381" t="s">
        <v>46</v>
      </c>
      <c r="AC381" t="s">
        <v>47</v>
      </c>
      <c r="AD381" t="s">
        <v>1094</v>
      </c>
      <c r="AE381" t="s">
        <v>1095</v>
      </c>
    </row>
    <row r="382" spans="1:31" x14ac:dyDescent="0.2">
      <c r="A382" t="s">
        <v>31</v>
      </c>
      <c r="B382">
        <v>2013</v>
      </c>
      <c r="C382">
        <v>59</v>
      </c>
      <c r="D382" s="1">
        <v>41405</v>
      </c>
      <c r="E382" t="s">
        <v>50</v>
      </c>
      <c r="F382" t="s">
        <v>51</v>
      </c>
      <c r="G382" t="s">
        <v>52</v>
      </c>
      <c r="H382" t="s">
        <v>968</v>
      </c>
      <c r="I382" t="s">
        <v>52</v>
      </c>
      <c r="J382" t="s">
        <v>37</v>
      </c>
      <c r="K382">
        <v>120</v>
      </c>
      <c r="L382">
        <v>9</v>
      </c>
      <c r="M382">
        <v>150</v>
      </c>
      <c r="N382">
        <v>7</v>
      </c>
      <c r="O382" t="s">
        <v>968</v>
      </c>
      <c r="P382" t="s">
        <v>38</v>
      </c>
      <c r="Q382">
        <v>30</v>
      </c>
      <c r="R382">
        <v>0</v>
      </c>
      <c r="S382" t="s">
        <v>1096</v>
      </c>
      <c r="T382" t="s">
        <v>440</v>
      </c>
      <c r="U382" t="s">
        <v>454</v>
      </c>
      <c r="V382" t="s">
        <v>656</v>
      </c>
      <c r="W382" t="s">
        <v>105</v>
      </c>
      <c r="X382" t="s">
        <v>989</v>
      </c>
      <c r="Y382" t="s">
        <v>45</v>
      </c>
      <c r="Z382">
        <v>20</v>
      </c>
      <c r="AA382">
        <v>6</v>
      </c>
      <c r="AB382" t="s">
        <v>46</v>
      </c>
      <c r="AC382" t="s">
        <v>47</v>
      </c>
      <c r="AD382" t="s">
        <v>1097</v>
      </c>
      <c r="AE382" t="s">
        <v>1098</v>
      </c>
    </row>
    <row r="383" spans="1:31" x14ac:dyDescent="0.2">
      <c r="A383" t="s">
        <v>31</v>
      </c>
      <c r="B383">
        <v>2013</v>
      </c>
      <c r="C383">
        <v>60</v>
      </c>
      <c r="D383" s="1">
        <v>41406</v>
      </c>
      <c r="E383" t="s">
        <v>1099</v>
      </c>
      <c r="F383" t="s">
        <v>1100</v>
      </c>
      <c r="G383" t="s">
        <v>36</v>
      </c>
      <c r="H383" t="s">
        <v>35</v>
      </c>
      <c r="I383" t="s">
        <v>36</v>
      </c>
      <c r="J383" t="s">
        <v>37</v>
      </c>
      <c r="K383">
        <v>116</v>
      </c>
      <c r="L383">
        <v>5</v>
      </c>
      <c r="M383">
        <v>115</v>
      </c>
      <c r="N383">
        <v>9</v>
      </c>
      <c r="O383" t="s">
        <v>36</v>
      </c>
      <c r="P383" t="s">
        <v>38</v>
      </c>
      <c r="Q383">
        <v>0</v>
      </c>
      <c r="R383">
        <v>5</v>
      </c>
      <c r="S383" t="s">
        <v>359</v>
      </c>
      <c r="T383" t="s">
        <v>783</v>
      </c>
      <c r="U383" t="s">
        <v>1064</v>
      </c>
      <c r="V383" t="s">
        <v>605</v>
      </c>
      <c r="W383" t="s">
        <v>642</v>
      </c>
      <c r="X383" t="s">
        <v>795</v>
      </c>
      <c r="Y383" t="s">
        <v>45</v>
      </c>
      <c r="Z383">
        <v>20</v>
      </c>
      <c r="AA383">
        <v>6</v>
      </c>
      <c r="AB383" t="s">
        <v>46</v>
      </c>
      <c r="AC383" t="s">
        <v>47</v>
      </c>
      <c r="AD383" t="s">
        <v>1101</v>
      </c>
      <c r="AE383" t="s">
        <v>1102</v>
      </c>
    </row>
    <row r="384" spans="1:31" x14ac:dyDescent="0.2">
      <c r="A384" t="s">
        <v>31</v>
      </c>
      <c r="B384">
        <v>2013</v>
      </c>
      <c r="C384">
        <v>61</v>
      </c>
      <c r="D384" s="1">
        <v>41406</v>
      </c>
      <c r="E384" t="s">
        <v>95</v>
      </c>
      <c r="F384" t="s">
        <v>96</v>
      </c>
      <c r="G384" t="s">
        <v>66</v>
      </c>
      <c r="H384" t="s">
        <v>53</v>
      </c>
      <c r="I384" t="s">
        <v>66</v>
      </c>
      <c r="J384" t="s">
        <v>37</v>
      </c>
      <c r="K384">
        <v>144</v>
      </c>
      <c r="L384">
        <v>5</v>
      </c>
      <c r="M384">
        <v>141</v>
      </c>
      <c r="N384">
        <v>4</v>
      </c>
      <c r="O384" t="s">
        <v>66</v>
      </c>
      <c r="P384" t="s">
        <v>38</v>
      </c>
      <c r="Q384">
        <v>0</v>
      </c>
      <c r="R384">
        <v>5</v>
      </c>
      <c r="S384" t="s">
        <v>97</v>
      </c>
      <c r="T384" t="s">
        <v>502</v>
      </c>
      <c r="U384" t="s">
        <v>312</v>
      </c>
      <c r="V384" t="s">
        <v>158</v>
      </c>
      <c r="W384" t="s">
        <v>111</v>
      </c>
      <c r="X384" t="s">
        <v>982</v>
      </c>
      <c r="Y384" t="s">
        <v>45</v>
      </c>
      <c r="Z384">
        <v>20</v>
      </c>
      <c r="AA384">
        <v>6</v>
      </c>
      <c r="AB384" t="s">
        <v>46</v>
      </c>
      <c r="AC384" t="s">
        <v>47</v>
      </c>
      <c r="AD384" t="s">
        <v>1103</v>
      </c>
      <c r="AE384" t="s">
        <v>1104</v>
      </c>
    </row>
    <row r="385" spans="1:31" x14ac:dyDescent="0.2">
      <c r="A385" t="s">
        <v>31</v>
      </c>
      <c r="B385">
        <v>2013</v>
      </c>
      <c r="C385">
        <v>62</v>
      </c>
      <c r="D385" s="1">
        <v>41407</v>
      </c>
      <c r="E385" t="s">
        <v>85</v>
      </c>
      <c r="F385" t="s">
        <v>86</v>
      </c>
      <c r="G385" t="s">
        <v>87</v>
      </c>
      <c r="H385" t="s">
        <v>968</v>
      </c>
      <c r="I385" t="s">
        <v>968</v>
      </c>
      <c r="J385" t="s">
        <v>54</v>
      </c>
      <c r="K385">
        <v>184</v>
      </c>
      <c r="L385">
        <v>4</v>
      </c>
      <c r="M385">
        <v>178</v>
      </c>
      <c r="N385">
        <v>3</v>
      </c>
      <c r="O385" t="s">
        <v>87</v>
      </c>
      <c r="P385" t="s">
        <v>38</v>
      </c>
      <c r="Q385">
        <v>0</v>
      </c>
      <c r="R385">
        <v>7</v>
      </c>
      <c r="S385" t="s">
        <v>568</v>
      </c>
      <c r="T385" t="s">
        <v>790</v>
      </c>
      <c r="U385" t="s">
        <v>146</v>
      </c>
      <c r="V385" t="s">
        <v>286</v>
      </c>
      <c r="W385" t="s">
        <v>41</v>
      </c>
      <c r="X385" t="s">
        <v>201</v>
      </c>
      <c r="Y385" t="s">
        <v>45</v>
      </c>
      <c r="Z385">
        <v>20</v>
      </c>
      <c r="AA385">
        <v>6</v>
      </c>
      <c r="AB385" t="s">
        <v>46</v>
      </c>
      <c r="AC385" t="s">
        <v>47</v>
      </c>
      <c r="AD385" t="s">
        <v>1105</v>
      </c>
      <c r="AE385" t="s">
        <v>1106</v>
      </c>
    </row>
    <row r="386" spans="1:31" x14ac:dyDescent="0.2">
      <c r="A386" t="s">
        <v>31</v>
      </c>
      <c r="B386">
        <v>2013</v>
      </c>
      <c r="C386">
        <v>63</v>
      </c>
      <c r="D386" s="1">
        <v>41408</v>
      </c>
      <c r="E386" t="s">
        <v>33</v>
      </c>
      <c r="F386" t="s">
        <v>34</v>
      </c>
      <c r="G386" t="s">
        <v>35</v>
      </c>
      <c r="H386" t="s">
        <v>52</v>
      </c>
      <c r="I386" t="s">
        <v>52</v>
      </c>
      <c r="J386" t="s">
        <v>37</v>
      </c>
      <c r="K386">
        <v>174</v>
      </c>
      <c r="L386">
        <v>5</v>
      </c>
      <c r="M386">
        <v>176</v>
      </c>
      <c r="N386">
        <v>3</v>
      </c>
      <c r="O386" t="s">
        <v>52</v>
      </c>
      <c r="P386" t="s">
        <v>38</v>
      </c>
      <c r="Q386">
        <v>0</v>
      </c>
      <c r="R386">
        <v>7</v>
      </c>
      <c r="S386" t="s">
        <v>132</v>
      </c>
      <c r="T386" t="s">
        <v>502</v>
      </c>
      <c r="U386" t="s">
        <v>312</v>
      </c>
      <c r="V386" t="s">
        <v>111</v>
      </c>
      <c r="W386" t="s">
        <v>158</v>
      </c>
      <c r="X386" t="s">
        <v>463</v>
      </c>
      <c r="Y386" t="s">
        <v>45</v>
      </c>
      <c r="Z386">
        <v>20</v>
      </c>
      <c r="AA386">
        <v>6</v>
      </c>
      <c r="AB386" t="s">
        <v>46</v>
      </c>
      <c r="AC386" t="s">
        <v>47</v>
      </c>
      <c r="AD386" t="s">
        <v>1107</v>
      </c>
      <c r="AE386" t="s">
        <v>1108</v>
      </c>
    </row>
    <row r="387" spans="1:31" x14ac:dyDescent="0.2">
      <c r="A387" t="s">
        <v>31</v>
      </c>
      <c r="B387">
        <v>2013</v>
      </c>
      <c r="C387">
        <v>64</v>
      </c>
      <c r="D387" s="1">
        <v>41408</v>
      </c>
      <c r="E387" t="s">
        <v>108</v>
      </c>
      <c r="F387" t="s">
        <v>109</v>
      </c>
      <c r="G387" t="s">
        <v>53</v>
      </c>
      <c r="H387" t="s">
        <v>65</v>
      </c>
      <c r="I387" t="s">
        <v>53</v>
      </c>
      <c r="J387" t="s">
        <v>54</v>
      </c>
      <c r="K387">
        <v>168</v>
      </c>
      <c r="L387">
        <v>4</v>
      </c>
      <c r="M387">
        <v>135</v>
      </c>
      <c r="N387">
        <v>9</v>
      </c>
      <c r="O387" t="s">
        <v>53</v>
      </c>
      <c r="P387" t="s">
        <v>38</v>
      </c>
      <c r="Q387">
        <v>33</v>
      </c>
      <c r="R387">
        <v>0</v>
      </c>
      <c r="S387" t="s">
        <v>136</v>
      </c>
      <c r="T387" t="s">
        <v>440</v>
      </c>
      <c r="U387" t="s">
        <v>105</v>
      </c>
      <c r="V387" t="s">
        <v>656</v>
      </c>
      <c r="W387" t="s">
        <v>454</v>
      </c>
      <c r="X387" t="s">
        <v>174</v>
      </c>
      <c r="Y387" t="s">
        <v>45</v>
      </c>
      <c r="Z387">
        <v>20</v>
      </c>
      <c r="AA387">
        <v>6</v>
      </c>
      <c r="AB387" t="s">
        <v>46</v>
      </c>
      <c r="AC387" t="s">
        <v>47</v>
      </c>
      <c r="AD387" t="s">
        <v>1109</v>
      </c>
      <c r="AE387" t="s">
        <v>1110</v>
      </c>
    </row>
    <row r="388" spans="1:31" x14ac:dyDescent="0.2">
      <c r="A388" t="s">
        <v>31</v>
      </c>
      <c r="B388">
        <v>2013</v>
      </c>
      <c r="C388">
        <v>65</v>
      </c>
      <c r="D388" s="1">
        <v>41409</v>
      </c>
      <c r="E388" t="s">
        <v>1099</v>
      </c>
      <c r="F388" t="s">
        <v>1100</v>
      </c>
      <c r="G388" t="s">
        <v>36</v>
      </c>
      <c r="H388" t="s">
        <v>619</v>
      </c>
      <c r="I388" t="s">
        <v>36</v>
      </c>
      <c r="J388" t="s">
        <v>37</v>
      </c>
      <c r="K388">
        <v>163</v>
      </c>
      <c r="L388">
        <v>7</v>
      </c>
      <c r="M388">
        <v>170</v>
      </c>
      <c r="N388">
        <v>4</v>
      </c>
      <c r="O388" t="s">
        <v>619</v>
      </c>
      <c r="P388" t="s">
        <v>38</v>
      </c>
      <c r="Q388">
        <v>7</v>
      </c>
      <c r="R388">
        <v>0</v>
      </c>
      <c r="S388" t="s">
        <v>429</v>
      </c>
      <c r="T388" t="s">
        <v>783</v>
      </c>
      <c r="U388" t="s">
        <v>1064</v>
      </c>
      <c r="V388" t="s">
        <v>605</v>
      </c>
      <c r="W388" t="s">
        <v>642</v>
      </c>
      <c r="X388" t="s">
        <v>795</v>
      </c>
      <c r="Y388" t="s">
        <v>45</v>
      </c>
      <c r="Z388">
        <v>20</v>
      </c>
      <c r="AA388">
        <v>6</v>
      </c>
      <c r="AB388" t="s">
        <v>46</v>
      </c>
      <c r="AC388" t="s">
        <v>47</v>
      </c>
      <c r="AD388" t="s">
        <v>1111</v>
      </c>
      <c r="AE388" t="s">
        <v>1112</v>
      </c>
    </row>
    <row r="389" spans="1:31" x14ac:dyDescent="0.2">
      <c r="A389" t="s">
        <v>31</v>
      </c>
      <c r="B389">
        <v>2013</v>
      </c>
      <c r="C389">
        <v>66</v>
      </c>
      <c r="D389" s="1">
        <v>41409</v>
      </c>
      <c r="E389" t="s">
        <v>85</v>
      </c>
      <c r="F389" t="s">
        <v>86</v>
      </c>
      <c r="G389" t="s">
        <v>87</v>
      </c>
      <c r="H389" t="s">
        <v>66</v>
      </c>
      <c r="I389" t="s">
        <v>66</v>
      </c>
      <c r="J389" t="s">
        <v>37</v>
      </c>
      <c r="K389">
        <v>166</v>
      </c>
      <c r="L389">
        <v>8</v>
      </c>
      <c r="M389">
        <v>152</v>
      </c>
      <c r="N389">
        <v>7</v>
      </c>
      <c r="O389" t="s">
        <v>87</v>
      </c>
      <c r="P389" t="s">
        <v>38</v>
      </c>
      <c r="Q389">
        <v>14</v>
      </c>
      <c r="R389">
        <v>0</v>
      </c>
      <c r="S389" t="s">
        <v>1113</v>
      </c>
      <c r="T389" t="s">
        <v>790</v>
      </c>
      <c r="U389" t="s">
        <v>41</v>
      </c>
      <c r="V389" t="s">
        <v>316</v>
      </c>
      <c r="W389" t="s">
        <v>146</v>
      </c>
      <c r="X389" t="s">
        <v>791</v>
      </c>
      <c r="Y389" t="s">
        <v>45</v>
      </c>
      <c r="Z389">
        <v>20</v>
      </c>
      <c r="AA389">
        <v>6</v>
      </c>
      <c r="AB389" t="s">
        <v>46</v>
      </c>
      <c r="AC389" t="s">
        <v>47</v>
      </c>
      <c r="AD389" t="s">
        <v>1114</v>
      </c>
      <c r="AE389" t="s">
        <v>1115</v>
      </c>
    </row>
    <row r="390" spans="1:31" x14ac:dyDescent="0.2">
      <c r="A390" t="s">
        <v>31</v>
      </c>
      <c r="B390">
        <v>2013</v>
      </c>
      <c r="C390">
        <v>67</v>
      </c>
      <c r="D390" s="1">
        <v>41410</v>
      </c>
      <c r="E390" t="s">
        <v>578</v>
      </c>
      <c r="F390" t="s">
        <v>579</v>
      </c>
      <c r="G390" t="s">
        <v>52</v>
      </c>
      <c r="H390" t="s">
        <v>65</v>
      </c>
      <c r="I390" t="s">
        <v>65</v>
      </c>
      <c r="J390" t="s">
        <v>37</v>
      </c>
      <c r="K390">
        <v>171</v>
      </c>
      <c r="L390">
        <v>4</v>
      </c>
      <c r="M390">
        <v>164</v>
      </c>
      <c r="N390">
        <v>7</v>
      </c>
      <c r="O390" t="s">
        <v>52</v>
      </c>
      <c r="P390" t="s">
        <v>38</v>
      </c>
      <c r="Q390">
        <v>7</v>
      </c>
      <c r="R390">
        <v>0</v>
      </c>
      <c r="S390" t="s">
        <v>1030</v>
      </c>
      <c r="T390" t="s">
        <v>502</v>
      </c>
      <c r="U390" t="s">
        <v>312</v>
      </c>
      <c r="V390" t="s">
        <v>111</v>
      </c>
      <c r="W390" t="s">
        <v>158</v>
      </c>
      <c r="X390" t="s">
        <v>989</v>
      </c>
      <c r="Y390" t="s">
        <v>45</v>
      </c>
      <c r="Z390">
        <v>20</v>
      </c>
      <c r="AA390">
        <v>6</v>
      </c>
      <c r="AB390" t="s">
        <v>46</v>
      </c>
      <c r="AC390" t="s">
        <v>47</v>
      </c>
      <c r="AD390" t="s">
        <v>1116</v>
      </c>
      <c r="AE390" t="s">
        <v>1117</v>
      </c>
    </row>
    <row r="391" spans="1:31" x14ac:dyDescent="0.2">
      <c r="A391" t="s">
        <v>31</v>
      </c>
      <c r="B391">
        <v>2013</v>
      </c>
      <c r="C391">
        <v>68</v>
      </c>
      <c r="D391" s="1">
        <v>41411</v>
      </c>
      <c r="E391" t="s">
        <v>101</v>
      </c>
      <c r="F391" t="s">
        <v>102</v>
      </c>
      <c r="G391" t="s">
        <v>968</v>
      </c>
      <c r="H391" t="s">
        <v>66</v>
      </c>
      <c r="I391" t="s">
        <v>968</v>
      </c>
      <c r="J391" t="s">
        <v>54</v>
      </c>
      <c r="K391">
        <v>136</v>
      </c>
      <c r="L391">
        <v>9</v>
      </c>
      <c r="M391">
        <v>113</v>
      </c>
      <c r="N391">
        <v>9</v>
      </c>
      <c r="O391" t="s">
        <v>968</v>
      </c>
      <c r="P391" t="s">
        <v>38</v>
      </c>
      <c r="Q391">
        <v>23</v>
      </c>
      <c r="R391">
        <v>0</v>
      </c>
      <c r="S391" t="s">
        <v>204</v>
      </c>
      <c r="T391" t="s">
        <v>40</v>
      </c>
      <c r="U391" t="s">
        <v>41</v>
      </c>
      <c r="V391" t="s">
        <v>146</v>
      </c>
      <c r="W391" t="s">
        <v>316</v>
      </c>
      <c r="X391" t="s">
        <v>969</v>
      </c>
      <c r="Y391" t="s">
        <v>45</v>
      </c>
      <c r="Z391">
        <v>20</v>
      </c>
      <c r="AA391">
        <v>6</v>
      </c>
      <c r="AB391" t="s">
        <v>46</v>
      </c>
      <c r="AC391" t="s">
        <v>47</v>
      </c>
      <c r="AD391" t="s">
        <v>1118</v>
      </c>
      <c r="AE391" t="s">
        <v>1119</v>
      </c>
    </row>
    <row r="392" spans="1:31" x14ac:dyDescent="0.2">
      <c r="A392" t="s">
        <v>31</v>
      </c>
      <c r="B392">
        <v>2013</v>
      </c>
      <c r="C392">
        <v>69</v>
      </c>
      <c r="D392" s="1">
        <v>41412</v>
      </c>
      <c r="E392" t="s">
        <v>578</v>
      </c>
      <c r="F392" t="s">
        <v>579</v>
      </c>
      <c r="G392" t="s">
        <v>52</v>
      </c>
      <c r="H392" t="s">
        <v>87</v>
      </c>
      <c r="I392" t="s">
        <v>87</v>
      </c>
      <c r="J392" t="s">
        <v>37</v>
      </c>
      <c r="K392">
        <v>183</v>
      </c>
      <c r="L392">
        <v>8</v>
      </c>
      <c r="M392">
        <v>133</v>
      </c>
      <c r="N392">
        <v>9</v>
      </c>
      <c r="O392" t="s">
        <v>52</v>
      </c>
      <c r="P392" t="s">
        <v>38</v>
      </c>
      <c r="Q392">
        <v>50</v>
      </c>
      <c r="R392">
        <v>0</v>
      </c>
      <c r="S392" t="s">
        <v>892</v>
      </c>
      <c r="T392" t="s">
        <v>502</v>
      </c>
      <c r="U392" t="s">
        <v>312</v>
      </c>
      <c r="V392" t="s">
        <v>158</v>
      </c>
      <c r="W392" t="s">
        <v>111</v>
      </c>
      <c r="X392" t="s">
        <v>72</v>
      </c>
      <c r="Y392" t="s">
        <v>45</v>
      </c>
      <c r="Z392">
        <v>20</v>
      </c>
      <c r="AA392">
        <v>6</v>
      </c>
      <c r="AB392" t="s">
        <v>46</v>
      </c>
      <c r="AC392" t="s">
        <v>47</v>
      </c>
      <c r="AD392" t="s">
        <v>1120</v>
      </c>
      <c r="AE392" t="s">
        <v>1121</v>
      </c>
    </row>
    <row r="393" spans="1:31" x14ac:dyDescent="0.2">
      <c r="A393" t="s">
        <v>31</v>
      </c>
      <c r="B393">
        <v>2013</v>
      </c>
      <c r="C393">
        <v>70</v>
      </c>
      <c r="D393" s="1">
        <v>41412</v>
      </c>
      <c r="E393" t="s">
        <v>33</v>
      </c>
      <c r="F393" t="s">
        <v>34</v>
      </c>
      <c r="G393" t="s">
        <v>35</v>
      </c>
      <c r="H393" t="s">
        <v>53</v>
      </c>
      <c r="I393" t="s">
        <v>53</v>
      </c>
      <c r="J393" t="s">
        <v>37</v>
      </c>
      <c r="K393">
        <v>106</v>
      </c>
      <c r="L393">
        <v>2</v>
      </c>
      <c r="M393">
        <v>82</v>
      </c>
      <c r="N393">
        <v>6</v>
      </c>
      <c r="O393" t="s">
        <v>35</v>
      </c>
      <c r="P393" t="s">
        <v>38</v>
      </c>
      <c r="Q393">
        <v>24</v>
      </c>
      <c r="R393">
        <v>0</v>
      </c>
      <c r="S393" t="s">
        <v>678</v>
      </c>
      <c r="T393" t="s">
        <v>440</v>
      </c>
      <c r="U393" t="s">
        <v>105</v>
      </c>
      <c r="V393" t="s">
        <v>656</v>
      </c>
      <c r="W393" t="s">
        <v>454</v>
      </c>
      <c r="X393" t="s">
        <v>463</v>
      </c>
      <c r="Y393" t="s">
        <v>45</v>
      </c>
      <c r="Z393">
        <v>20</v>
      </c>
      <c r="AA393">
        <v>6</v>
      </c>
      <c r="AB393" t="s">
        <v>46</v>
      </c>
      <c r="AC393" t="s">
        <v>47</v>
      </c>
      <c r="AD393" t="s">
        <v>1122</v>
      </c>
      <c r="AE393" t="s">
        <v>1123</v>
      </c>
    </row>
    <row r="394" spans="1:31" x14ac:dyDescent="0.2">
      <c r="A394" t="s">
        <v>31</v>
      </c>
      <c r="B394">
        <v>2013</v>
      </c>
      <c r="C394">
        <v>71</v>
      </c>
      <c r="D394" s="1">
        <v>41413</v>
      </c>
      <c r="E394" t="s">
        <v>807</v>
      </c>
      <c r="F394" t="s">
        <v>808</v>
      </c>
      <c r="G394" t="s">
        <v>619</v>
      </c>
      <c r="H394" t="s">
        <v>65</v>
      </c>
      <c r="I394" t="s">
        <v>619</v>
      </c>
      <c r="J394" t="s">
        <v>54</v>
      </c>
      <c r="K394">
        <v>172</v>
      </c>
      <c r="L394">
        <v>5</v>
      </c>
      <c r="M394">
        <v>134</v>
      </c>
      <c r="N394">
        <v>9</v>
      </c>
      <c r="O394" t="s">
        <v>619</v>
      </c>
      <c r="P394" t="s">
        <v>38</v>
      </c>
      <c r="Q394">
        <v>38</v>
      </c>
      <c r="R394">
        <v>0</v>
      </c>
      <c r="S394" t="s">
        <v>1124</v>
      </c>
      <c r="T394" t="s">
        <v>783</v>
      </c>
      <c r="U394" t="s">
        <v>1064</v>
      </c>
      <c r="V394" t="s">
        <v>286</v>
      </c>
      <c r="W394" t="s">
        <v>642</v>
      </c>
      <c r="X394" t="s">
        <v>791</v>
      </c>
      <c r="Y394" t="s">
        <v>45</v>
      </c>
      <c r="Z394">
        <v>20</v>
      </c>
      <c r="AA394">
        <v>6</v>
      </c>
      <c r="AB394" t="s">
        <v>46</v>
      </c>
      <c r="AC394" t="s">
        <v>47</v>
      </c>
      <c r="AD394" t="s">
        <v>1125</v>
      </c>
      <c r="AE394" t="s">
        <v>1126</v>
      </c>
    </row>
    <row r="395" spans="1:31" x14ac:dyDescent="0.2">
      <c r="A395" t="s">
        <v>31</v>
      </c>
      <c r="B395">
        <v>2013</v>
      </c>
      <c r="C395">
        <v>72</v>
      </c>
      <c r="D395" s="1">
        <v>41413</v>
      </c>
      <c r="E395" t="s">
        <v>101</v>
      </c>
      <c r="F395" t="s">
        <v>102</v>
      </c>
      <c r="G395" t="s">
        <v>968</v>
      </c>
      <c r="H395" t="s">
        <v>36</v>
      </c>
      <c r="I395" t="s">
        <v>36</v>
      </c>
      <c r="J395" t="s">
        <v>54</v>
      </c>
      <c r="K395">
        <v>132</v>
      </c>
      <c r="L395">
        <v>5</v>
      </c>
      <c r="M395">
        <v>130</v>
      </c>
      <c r="N395">
        <v>7</v>
      </c>
      <c r="O395" t="s">
        <v>968</v>
      </c>
      <c r="P395" t="s">
        <v>38</v>
      </c>
      <c r="Q395">
        <v>0</v>
      </c>
      <c r="R395">
        <v>5</v>
      </c>
      <c r="S395" t="s">
        <v>1096</v>
      </c>
      <c r="T395" t="s">
        <v>614</v>
      </c>
      <c r="U395" t="s">
        <v>41</v>
      </c>
      <c r="V395" t="s">
        <v>316</v>
      </c>
      <c r="W395" t="s">
        <v>146</v>
      </c>
      <c r="X395" t="s">
        <v>969</v>
      </c>
      <c r="Y395" t="s">
        <v>45</v>
      </c>
      <c r="Z395">
        <v>20</v>
      </c>
      <c r="AA395">
        <v>6</v>
      </c>
      <c r="AB395" t="s">
        <v>46</v>
      </c>
      <c r="AC395" t="s">
        <v>47</v>
      </c>
      <c r="AD395" t="s">
        <v>1127</v>
      </c>
      <c r="AE395" t="s">
        <v>1128</v>
      </c>
    </row>
    <row r="396" spans="1:31" x14ac:dyDescent="0.2">
      <c r="A396" t="s">
        <v>31</v>
      </c>
      <c r="B396">
        <v>2013</v>
      </c>
      <c r="C396" t="s">
        <v>256</v>
      </c>
      <c r="D396" s="1">
        <v>41415</v>
      </c>
      <c r="E396" t="s">
        <v>63</v>
      </c>
      <c r="F396" t="s">
        <v>64</v>
      </c>
      <c r="G396" t="s">
        <v>53</v>
      </c>
      <c r="H396" t="s">
        <v>87</v>
      </c>
      <c r="I396" t="s">
        <v>53</v>
      </c>
      <c r="J396" t="s">
        <v>54</v>
      </c>
      <c r="K396">
        <v>192</v>
      </c>
      <c r="L396">
        <v>1</v>
      </c>
      <c r="M396">
        <v>144</v>
      </c>
      <c r="N396">
        <v>10</v>
      </c>
      <c r="O396" t="s">
        <v>53</v>
      </c>
      <c r="P396" t="s">
        <v>38</v>
      </c>
      <c r="Q396">
        <v>48</v>
      </c>
      <c r="R396">
        <v>0</v>
      </c>
      <c r="S396" t="s">
        <v>55</v>
      </c>
      <c r="T396" t="s">
        <v>502</v>
      </c>
      <c r="U396" t="s">
        <v>1064</v>
      </c>
      <c r="V396" t="s">
        <v>656</v>
      </c>
      <c r="W396" t="s">
        <v>111</v>
      </c>
      <c r="X396" t="s">
        <v>158</v>
      </c>
      <c r="Y396" t="s">
        <v>45</v>
      </c>
      <c r="Z396">
        <v>20</v>
      </c>
      <c r="AA396">
        <v>6</v>
      </c>
      <c r="AB396" t="s">
        <v>46</v>
      </c>
      <c r="AC396" t="s">
        <v>47</v>
      </c>
      <c r="AD396" t="s">
        <v>1129</v>
      </c>
      <c r="AE396" t="s">
        <v>1130</v>
      </c>
    </row>
    <row r="397" spans="1:31" x14ac:dyDescent="0.2">
      <c r="A397" t="s">
        <v>31</v>
      </c>
      <c r="B397">
        <v>2013</v>
      </c>
      <c r="C397" t="s">
        <v>256</v>
      </c>
      <c r="D397" s="1">
        <v>41416</v>
      </c>
      <c r="E397" t="s">
        <v>63</v>
      </c>
      <c r="F397" t="s">
        <v>64</v>
      </c>
      <c r="G397" t="s">
        <v>66</v>
      </c>
      <c r="H397" t="s">
        <v>968</v>
      </c>
      <c r="I397" t="s">
        <v>968</v>
      </c>
      <c r="J397" t="s">
        <v>54</v>
      </c>
      <c r="K397">
        <v>135</v>
      </c>
      <c r="L397">
        <v>6</v>
      </c>
      <c r="M397">
        <v>132</v>
      </c>
      <c r="N397">
        <v>7</v>
      </c>
      <c r="O397" t="s">
        <v>66</v>
      </c>
      <c r="P397" t="s">
        <v>38</v>
      </c>
      <c r="Q397">
        <v>0</v>
      </c>
      <c r="R397">
        <v>4</v>
      </c>
      <c r="S397" t="s">
        <v>418</v>
      </c>
      <c r="T397" t="s">
        <v>502</v>
      </c>
      <c r="U397" t="s">
        <v>111</v>
      </c>
      <c r="V397" t="s">
        <v>656</v>
      </c>
      <c r="W397" t="s">
        <v>1064</v>
      </c>
      <c r="X397" t="s">
        <v>158</v>
      </c>
      <c r="Y397" t="s">
        <v>45</v>
      </c>
      <c r="Z397">
        <v>20</v>
      </c>
      <c r="AA397">
        <v>6</v>
      </c>
      <c r="AB397" t="s">
        <v>46</v>
      </c>
      <c r="AC397" t="s">
        <v>47</v>
      </c>
      <c r="AD397" t="s">
        <v>1131</v>
      </c>
      <c r="AE397" t="s">
        <v>1132</v>
      </c>
    </row>
    <row r="398" spans="1:31" x14ac:dyDescent="0.2">
      <c r="A398" t="s">
        <v>31</v>
      </c>
      <c r="B398">
        <v>2013</v>
      </c>
      <c r="C398" t="s">
        <v>256</v>
      </c>
      <c r="D398" s="1">
        <v>41418</v>
      </c>
      <c r="E398" t="s">
        <v>75</v>
      </c>
      <c r="F398" t="s">
        <v>76</v>
      </c>
      <c r="G398" t="s">
        <v>87</v>
      </c>
      <c r="H398" t="s">
        <v>66</v>
      </c>
      <c r="I398" t="s">
        <v>66</v>
      </c>
      <c r="J398" t="s">
        <v>54</v>
      </c>
      <c r="K398">
        <v>169</v>
      </c>
      <c r="L398">
        <v>6</v>
      </c>
      <c r="M398">
        <v>165</v>
      </c>
      <c r="N398">
        <v>6</v>
      </c>
      <c r="O398" t="s">
        <v>87</v>
      </c>
      <c r="P398" t="s">
        <v>38</v>
      </c>
      <c r="Q398">
        <v>0</v>
      </c>
      <c r="R398">
        <v>4</v>
      </c>
      <c r="S398" t="s">
        <v>394</v>
      </c>
      <c r="T398" t="s">
        <v>783</v>
      </c>
      <c r="U398" t="s">
        <v>105</v>
      </c>
      <c r="V398" t="s">
        <v>286</v>
      </c>
      <c r="W398" t="s">
        <v>312</v>
      </c>
      <c r="X398" t="s">
        <v>605</v>
      </c>
      <c r="Y398" t="s">
        <v>45</v>
      </c>
      <c r="Z398">
        <v>20</v>
      </c>
      <c r="AA398">
        <v>6</v>
      </c>
      <c r="AB398" t="s">
        <v>46</v>
      </c>
      <c r="AC398" t="s">
        <v>47</v>
      </c>
      <c r="AD398" t="s">
        <v>1133</v>
      </c>
      <c r="AE398" t="s">
        <v>1134</v>
      </c>
    </row>
    <row r="399" spans="1:31" x14ac:dyDescent="0.2">
      <c r="A399" t="s">
        <v>31</v>
      </c>
      <c r="B399">
        <v>2013</v>
      </c>
      <c r="C399" t="s">
        <v>256</v>
      </c>
      <c r="D399" s="1">
        <v>41420</v>
      </c>
      <c r="E399" t="s">
        <v>75</v>
      </c>
      <c r="F399" t="s">
        <v>76</v>
      </c>
      <c r="G399" t="s">
        <v>53</v>
      </c>
      <c r="H399" t="s">
        <v>87</v>
      </c>
      <c r="I399" t="s">
        <v>87</v>
      </c>
      <c r="J399" t="s">
        <v>54</v>
      </c>
      <c r="K399">
        <v>125</v>
      </c>
      <c r="L399">
        <v>9</v>
      </c>
      <c r="M399">
        <v>148</v>
      </c>
      <c r="N399">
        <v>9</v>
      </c>
      <c r="O399" t="s">
        <v>87</v>
      </c>
      <c r="P399" t="s">
        <v>38</v>
      </c>
      <c r="Q399">
        <v>23</v>
      </c>
      <c r="R399">
        <v>0</v>
      </c>
      <c r="S399" t="s">
        <v>568</v>
      </c>
      <c r="T399" t="s">
        <v>783</v>
      </c>
      <c r="U399" t="s">
        <v>312</v>
      </c>
      <c r="V399" t="s">
        <v>286</v>
      </c>
      <c r="W399" t="s">
        <v>105</v>
      </c>
      <c r="X399" t="s">
        <v>605</v>
      </c>
      <c r="Y399" t="s">
        <v>45</v>
      </c>
      <c r="Z399">
        <v>20</v>
      </c>
      <c r="AA399">
        <v>6</v>
      </c>
      <c r="AB399" t="s">
        <v>46</v>
      </c>
      <c r="AC399" t="s">
        <v>47</v>
      </c>
      <c r="AD399" t="s">
        <v>1135</v>
      </c>
      <c r="AE399" t="s">
        <v>1136</v>
      </c>
    </row>
    <row r="400" spans="1:31" x14ac:dyDescent="0.2">
      <c r="A400" t="s">
        <v>31</v>
      </c>
      <c r="B400">
        <v>2014</v>
      </c>
      <c r="C400">
        <v>1</v>
      </c>
      <c r="D400" s="1">
        <v>41745</v>
      </c>
      <c r="E400" t="s">
        <v>1137</v>
      </c>
      <c r="F400" t="s">
        <v>1138</v>
      </c>
      <c r="G400" t="s">
        <v>87</v>
      </c>
      <c r="H400" t="s">
        <v>36</v>
      </c>
      <c r="I400" t="s">
        <v>36</v>
      </c>
      <c r="J400" t="s">
        <v>54</v>
      </c>
      <c r="K400">
        <v>122</v>
      </c>
      <c r="L400">
        <v>7</v>
      </c>
      <c r="M400">
        <v>163</v>
      </c>
      <c r="N400">
        <v>5</v>
      </c>
      <c r="O400" t="s">
        <v>36</v>
      </c>
      <c r="P400" t="s">
        <v>38</v>
      </c>
      <c r="Q400">
        <v>41</v>
      </c>
      <c r="R400">
        <v>0</v>
      </c>
      <c r="S400" t="s">
        <v>359</v>
      </c>
      <c r="T400" t="s">
        <v>440</v>
      </c>
      <c r="U400" t="s">
        <v>297</v>
      </c>
      <c r="V400" t="s">
        <v>1139</v>
      </c>
      <c r="W400" t="s">
        <v>80</v>
      </c>
      <c r="X400" t="s">
        <v>605</v>
      </c>
      <c r="Y400" t="s">
        <v>45</v>
      </c>
      <c r="Z400">
        <v>20</v>
      </c>
      <c r="AA400">
        <v>6</v>
      </c>
      <c r="AB400" t="s">
        <v>46</v>
      </c>
      <c r="AC400" t="s">
        <v>47</v>
      </c>
      <c r="AD400" t="s">
        <v>1140</v>
      </c>
      <c r="AE400" t="s">
        <v>1141</v>
      </c>
    </row>
    <row r="401" spans="1:31" x14ac:dyDescent="0.2">
      <c r="A401" t="s">
        <v>31</v>
      </c>
      <c r="B401">
        <v>2014</v>
      </c>
      <c r="C401">
        <v>2</v>
      </c>
      <c r="D401" s="1">
        <v>41746</v>
      </c>
      <c r="E401" t="s">
        <v>72</v>
      </c>
      <c r="F401" t="s">
        <v>1142</v>
      </c>
      <c r="G401" t="s">
        <v>65</v>
      </c>
      <c r="H401" t="s">
        <v>35</v>
      </c>
      <c r="I401" t="s">
        <v>35</v>
      </c>
      <c r="J401" t="s">
        <v>37</v>
      </c>
      <c r="K401">
        <v>145</v>
      </c>
      <c r="L401">
        <v>4</v>
      </c>
      <c r="M401">
        <v>146</v>
      </c>
      <c r="N401">
        <v>2</v>
      </c>
      <c r="O401" t="s">
        <v>35</v>
      </c>
      <c r="P401" t="s">
        <v>38</v>
      </c>
      <c r="Q401">
        <v>0</v>
      </c>
      <c r="R401">
        <v>8</v>
      </c>
      <c r="S401" t="s">
        <v>1143</v>
      </c>
      <c r="T401" t="s">
        <v>681</v>
      </c>
      <c r="U401" t="s">
        <v>69</v>
      </c>
      <c r="V401" t="s">
        <v>111</v>
      </c>
      <c r="W401" t="s">
        <v>642</v>
      </c>
      <c r="X401" t="s">
        <v>631</v>
      </c>
      <c r="Y401" t="s">
        <v>45</v>
      </c>
      <c r="Z401">
        <v>20</v>
      </c>
      <c r="AA401">
        <v>6</v>
      </c>
      <c r="AB401" t="s">
        <v>46</v>
      </c>
      <c r="AC401" t="s">
        <v>47</v>
      </c>
      <c r="AD401" t="s">
        <v>1144</v>
      </c>
      <c r="AE401" t="s">
        <v>1145</v>
      </c>
    </row>
    <row r="402" spans="1:31" x14ac:dyDescent="0.2">
      <c r="A402" t="s">
        <v>31</v>
      </c>
      <c r="B402">
        <v>2014</v>
      </c>
      <c r="C402">
        <v>3</v>
      </c>
      <c r="D402" s="1">
        <v>41747</v>
      </c>
      <c r="E402" t="s">
        <v>1137</v>
      </c>
      <c r="F402" t="s">
        <v>1138</v>
      </c>
      <c r="G402" t="s">
        <v>53</v>
      </c>
      <c r="H402" t="s">
        <v>52</v>
      </c>
      <c r="I402" t="s">
        <v>53</v>
      </c>
      <c r="J402" t="s">
        <v>54</v>
      </c>
      <c r="K402">
        <v>205</v>
      </c>
      <c r="L402">
        <v>4</v>
      </c>
      <c r="M402">
        <v>206</v>
      </c>
      <c r="N402">
        <v>4</v>
      </c>
      <c r="O402" t="s">
        <v>52</v>
      </c>
      <c r="P402" t="s">
        <v>38</v>
      </c>
      <c r="Q402">
        <v>0</v>
      </c>
      <c r="R402">
        <v>6</v>
      </c>
      <c r="S402" t="s">
        <v>1146</v>
      </c>
      <c r="T402" t="s">
        <v>440</v>
      </c>
      <c r="U402" t="s">
        <v>1139</v>
      </c>
      <c r="V402" t="s">
        <v>105</v>
      </c>
      <c r="W402" t="s">
        <v>80</v>
      </c>
      <c r="X402" t="s">
        <v>605</v>
      </c>
      <c r="Y402" t="s">
        <v>45</v>
      </c>
      <c r="Z402">
        <v>20</v>
      </c>
      <c r="AA402">
        <v>6</v>
      </c>
      <c r="AB402" t="s">
        <v>46</v>
      </c>
      <c r="AC402" t="s">
        <v>47</v>
      </c>
      <c r="AD402" t="s">
        <v>1147</v>
      </c>
      <c r="AE402" t="s">
        <v>1148</v>
      </c>
    </row>
    <row r="403" spans="1:31" x14ac:dyDescent="0.2">
      <c r="A403" t="s">
        <v>31</v>
      </c>
      <c r="B403">
        <v>2014</v>
      </c>
      <c r="C403">
        <v>4</v>
      </c>
      <c r="D403" s="1">
        <v>41747</v>
      </c>
      <c r="E403" t="s">
        <v>1137</v>
      </c>
      <c r="F403" t="s">
        <v>1138</v>
      </c>
      <c r="G403" t="s">
        <v>968</v>
      </c>
      <c r="H403" t="s">
        <v>66</v>
      </c>
      <c r="I403" t="s">
        <v>66</v>
      </c>
      <c r="J403" t="s">
        <v>37</v>
      </c>
      <c r="K403">
        <v>133</v>
      </c>
      <c r="L403">
        <v>6</v>
      </c>
      <c r="M403">
        <v>135</v>
      </c>
      <c r="N403">
        <v>6</v>
      </c>
      <c r="O403" t="s">
        <v>66</v>
      </c>
      <c r="P403" t="s">
        <v>38</v>
      </c>
      <c r="Q403">
        <v>0</v>
      </c>
      <c r="R403">
        <v>4</v>
      </c>
      <c r="S403" t="s">
        <v>794</v>
      </c>
      <c r="T403" t="s">
        <v>440</v>
      </c>
      <c r="U403" t="s">
        <v>80</v>
      </c>
      <c r="V403" t="s">
        <v>1139</v>
      </c>
      <c r="W403" t="s">
        <v>105</v>
      </c>
      <c r="X403" t="s">
        <v>605</v>
      </c>
      <c r="Y403" t="s">
        <v>45</v>
      </c>
      <c r="Z403">
        <v>20</v>
      </c>
      <c r="AA403">
        <v>6</v>
      </c>
      <c r="AB403" t="s">
        <v>46</v>
      </c>
      <c r="AC403" t="s">
        <v>47</v>
      </c>
      <c r="AD403" t="s">
        <v>1149</v>
      </c>
      <c r="AE403" t="s">
        <v>1150</v>
      </c>
    </row>
    <row r="404" spans="1:31" x14ac:dyDescent="0.2">
      <c r="A404" t="s">
        <v>31</v>
      </c>
      <c r="B404">
        <v>2014</v>
      </c>
      <c r="C404">
        <v>5</v>
      </c>
      <c r="D404" s="1">
        <v>41748</v>
      </c>
      <c r="E404" t="s">
        <v>72</v>
      </c>
      <c r="F404" t="s">
        <v>1151</v>
      </c>
      <c r="G404" t="s">
        <v>35</v>
      </c>
      <c r="H404" t="s">
        <v>87</v>
      </c>
      <c r="I404" t="s">
        <v>35</v>
      </c>
      <c r="J404" t="s">
        <v>37</v>
      </c>
      <c r="K404">
        <v>116</v>
      </c>
      <c r="L404">
        <v>3</v>
      </c>
      <c r="M404">
        <v>115</v>
      </c>
      <c r="N404">
        <v>9</v>
      </c>
      <c r="O404" t="s">
        <v>35</v>
      </c>
      <c r="P404" t="s">
        <v>38</v>
      </c>
      <c r="Q404">
        <v>0</v>
      </c>
      <c r="R404">
        <v>7</v>
      </c>
      <c r="S404" t="s">
        <v>1096</v>
      </c>
      <c r="T404" t="s">
        <v>681</v>
      </c>
      <c r="U404" t="s">
        <v>69</v>
      </c>
      <c r="V404" t="s">
        <v>146</v>
      </c>
      <c r="W404" t="s">
        <v>642</v>
      </c>
      <c r="X404" t="s">
        <v>174</v>
      </c>
      <c r="Y404" t="s">
        <v>45</v>
      </c>
      <c r="Z404">
        <v>20</v>
      </c>
      <c r="AA404">
        <v>6</v>
      </c>
      <c r="AB404" t="s">
        <v>46</v>
      </c>
      <c r="AC404" t="s">
        <v>47</v>
      </c>
      <c r="AD404" t="s">
        <v>1152</v>
      </c>
      <c r="AE404" t="s">
        <v>1153</v>
      </c>
    </row>
    <row r="405" spans="1:31" x14ac:dyDescent="0.2">
      <c r="A405" t="s">
        <v>31</v>
      </c>
      <c r="B405">
        <v>2014</v>
      </c>
      <c r="C405">
        <v>6</v>
      </c>
      <c r="D405" s="1">
        <v>41748</v>
      </c>
      <c r="E405" t="s">
        <v>72</v>
      </c>
      <c r="F405" t="s">
        <v>1151</v>
      </c>
      <c r="G405" t="s">
        <v>36</v>
      </c>
      <c r="H405" t="s">
        <v>65</v>
      </c>
      <c r="I405" t="s">
        <v>36</v>
      </c>
      <c r="J405" t="s">
        <v>54</v>
      </c>
      <c r="K405">
        <v>166</v>
      </c>
      <c r="L405">
        <v>5</v>
      </c>
      <c r="M405">
        <v>167</v>
      </c>
      <c r="N405">
        <v>6</v>
      </c>
      <c r="O405" t="s">
        <v>65</v>
      </c>
      <c r="P405" t="s">
        <v>38</v>
      </c>
      <c r="Q405">
        <v>0</v>
      </c>
      <c r="R405">
        <v>4</v>
      </c>
      <c r="S405" t="s">
        <v>343</v>
      </c>
      <c r="T405" t="s">
        <v>681</v>
      </c>
      <c r="U405" t="s">
        <v>69</v>
      </c>
      <c r="V405" t="s">
        <v>642</v>
      </c>
      <c r="W405" t="s">
        <v>146</v>
      </c>
      <c r="X405" t="s">
        <v>174</v>
      </c>
      <c r="Y405" t="s">
        <v>45</v>
      </c>
      <c r="Z405">
        <v>20</v>
      </c>
      <c r="AA405">
        <v>6</v>
      </c>
      <c r="AB405" t="s">
        <v>46</v>
      </c>
      <c r="AC405" t="s">
        <v>47</v>
      </c>
      <c r="AD405" t="s">
        <v>1154</v>
      </c>
      <c r="AE405" t="s">
        <v>1155</v>
      </c>
    </row>
    <row r="406" spans="1:31" x14ac:dyDescent="0.2">
      <c r="A406" t="s">
        <v>31</v>
      </c>
      <c r="B406">
        <v>2014</v>
      </c>
      <c r="C406">
        <v>7</v>
      </c>
      <c r="D406" s="1">
        <v>41749</v>
      </c>
      <c r="E406" t="s">
        <v>72</v>
      </c>
      <c r="F406" t="s">
        <v>1142</v>
      </c>
      <c r="G406" t="s">
        <v>66</v>
      </c>
      <c r="H406" t="s">
        <v>52</v>
      </c>
      <c r="I406" t="s">
        <v>52</v>
      </c>
      <c r="J406" t="s">
        <v>37</v>
      </c>
      <c r="K406">
        <v>191</v>
      </c>
      <c r="L406">
        <v>5</v>
      </c>
      <c r="M406">
        <v>193</v>
      </c>
      <c r="N406">
        <v>3</v>
      </c>
      <c r="O406" t="s">
        <v>52</v>
      </c>
      <c r="P406" t="s">
        <v>38</v>
      </c>
      <c r="Q406">
        <v>0</v>
      </c>
      <c r="R406">
        <v>7</v>
      </c>
      <c r="S406" t="s">
        <v>1146</v>
      </c>
      <c r="T406" t="s">
        <v>440</v>
      </c>
      <c r="U406" t="s">
        <v>80</v>
      </c>
      <c r="V406" t="s">
        <v>297</v>
      </c>
      <c r="W406" t="s">
        <v>111</v>
      </c>
      <c r="X406" t="s">
        <v>631</v>
      </c>
      <c r="Y406" t="s">
        <v>45</v>
      </c>
      <c r="Z406">
        <v>20</v>
      </c>
      <c r="AA406">
        <v>6</v>
      </c>
      <c r="AB406" t="s">
        <v>46</v>
      </c>
      <c r="AC406" t="s">
        <v>47</v>
      </c>
      <c r="AD406" t="s">
        <v>1156</v>
      </c>
      <c r="AE406" t="s">
        <v>1157</v>
      </c>
    </row>
    <row r="407" spans="1:31" x14ac:dyDescent="0.2">
      <c r="A407" t="s">
        <v>31</v>
      </c>
      <c r="B407">
        <v>2014</v>
      </c>
      <c r="C407">
        <v>8</v>
      </c>
      <c r="D407" s="1">
        <v>41750</v>
      </c>
      <c r="E407" t="s">
        <v>1137</v>
      </c>
      <c r="F407" t="s">
        <v>1138</v>
      </c>
      <c r="G407" t="s">
        <v>53</v>
      </c>
      <c r="H407" t="s">
        <v>65</v>
      </c>
      <c r="I407" t="s">
        <v>53</v>
      </c>
      <c r="J407" t="s">
        <v>54</v>
      </c>
      <c r="K407">
        <v>177</v>
      </c>
      <c r="L407">
        <v>7</v>
      </c>
      <c r="M407">
        <v>84</v>
      </c>
      <c r="N407">
        <v>9</v>
      </c>
      <c r="O407" t="s">
        <v>53</v>
      </c>
      <c r="P407" t="s">
        <v>38</v>
      </c>
      <c r="Q407">
        <v>93</v>
      </c>
      <c r="R407">
        <v>0</v>
      </c>
      <c r="S407" t="s">
        <v>248</v>
      </c>
      <c r="T407" t="s">
        <v>681</v>
      </c>
      <c r="U407" t="s">
        <v>1139</v>
      </c>
      <c r="V407" t="s">
        <v>105</v>
      </c>
      <c r="W407" t="s">
        <v>312</v>
      </c>
      <c r="X407" t="s">
        <v>605</v>
      </c>
      <c r="Y407" t="s">
        <v>45</v>
      </c>
      <c r="Z407">
        <v>20</v>
      </c>
      <c r="AA407">
        <v>6</v>
      </c>
      <c r="AB407" t="s">
        <v>46</v>
      </c>
      <c r="AC407" t="s">
        <v>47</v>
      </c>
      <c r="AD407" t="s">
        <v>1158</v>
      </c>
      <c r="AE407" t="s">
        <v>1159</v>
      </c>
    </row>
    <row r="408" spans="1:31" x14ac:dyDescent="0.2">
      <c r="A408" t="s">
        <v>31</v>
      </c>
      <c r="B408">
        <v>2014</v>
      </c>
      <c r="C408">
        <v>9</v>
      </c>
      <c r="D408" s="1">
        <v>41751</v>
      </c>
      <c r="E408" t="s">
        <v>72</v>
      </c>
      <c r="F408" t="s">
        <v>1142</v>
      </c>
      <c r="G408" t="s">
        <v>52</v>
      </c>
      <c r="H408" t="s">
        <v>968</v>
      </c>
      <c r="I408" t="s">
        <v>968</v>
      </c>
      <c r="J408" t="s">
        <v>37</v>
      </c>
      <c r="K408">
        <v>193</v>
      </c>
      <c r="L408">
        <v>6</v>
      </c>
      <c r="M408">
        <v>121</v>
      </c>
      <c r="N408">
        <v>10</v>
      </c>
      <c r="O408" t="s">
        <v>52</v>
      </c>
      <c r="P408" t="s">
        <v>38</v>
      </c>
      <c r="Q408">
        <v>72</v>
      </c>
      <c r="R408">
        <v>0</v>
      </c>
      <c r="S408" t="s">
        <v>1146</v>
      </c>
      <c r="T408" t="s">
        <v>440</v>
      </c>
      <c r="U408" t="s">
        <v>297</v>
      </c>
      <c r="V408" t="s">
        <v>111</v>
      </c>
      <c r="W408" t="s">
        <v>80</v>
      </c>
      <c r="X408" t="s">
        <v>631</v>
      </c>
      <c r="Y408" t="s">
        <v>45</v>
      </c>
      <c r="Z408">
        <v>20</v>
      </c>
      <c r="AA408">
        <v>6</v>
      </c>
      <c r="AB408" t="s">
        <v>46</v>
      </c>
      <c r="AC408" t="s">
        <v>47</v>
      </c>
      <c r="AD408" t="s">
        <v>1160</v>
      </c>
      <c r="AE408" t="s">
        <v>1161</v>
      </c>
    </row>
    <row r="409" spans="1:31" x14ac:dyDescent="0.2">
      <c r="A409" t="s">
        <v>31</v>
      </c>
      <c r="B409">
        <v>2014</v>
      </c>
      <c r="C409">
        <v>10</v>
      </c>
      <c r="D409" s="1">
        <v>41752</v>
      </c>
      <c r="E409" t="s">
        <v>72</v>
      </c>
      <c r="F409" t="s">
        <v>1151</v>
      </c>
      <c r="G409" t="s">
        <v>66</v>
      </c>
      <c r="H409" t="s">
        <v>53</v>
      </c>
      <c r="I409" t="s">
        <v>66</v>
      </c>
      <c r="J409" t="s">
        <v>37</v>
      </c>
      <c r="K409">
        <v>133</v>
      </c>
      <c r="L409">
        <v>10</v>
      </c>
      <c r="M409">
        <v>140</v>
      </c>
      <c r="N409">
        <v>6</v>
      </c>
      <c r="O409" t="s">
        <v>53</v>
      </c>
      <c r="P409" t="s">
        <v>38</v>
      </c>
      <c r="Q409">
        <v>7</v>
      </c>
      <c r="R409">
        <v>0</v>
      </c>
      <c r="S409" t="s">
        <v>802</v>
      </c>
      <c r="T409" t="s">
        <v>681</v>
      </c>
      <c r="U409" t="s">
        <v>312</v>
      </c>
      <c r="V409" t="s">
        <v>1139</v>
      </c>
      <c r="W409" t="s">
        <v>105</v>
      </c>
      <c r="X409" t="s">
        <v>174</v>
      </c>
      <c r="Y409" t="s">
        <v>45</v>
      </c>
      <c r="Z409">
        <v>20</v>
      </c>
      <c r="AA409">
        <v>6</v>
      </c>
      <c r="AB409" t="s">
        <v>46</v>
      </c>
      <c r="AC409" t="s">
        <v>47</v>
      </c>
      <c r="AD409" t="s">
        <v>1162</v>
      </c>
      <c r="AE409" t="s">
        <v>1163</v>
      </c>
    </row>
    <row r="410" spans="1:31" x14ac:dyDescent="0.2">
      <c r="A410" t="s">
        <v>31</v>
      </c>
      <c r="B410">
        <v>2014</v>
      </c>
      <c r="C410">
        <v>11</v>
      </c>
      <c r="D410" s="1">
        <v>41753</v>
      </c>
      <c r="E410" t="s">
        <v>72</v>
      </c>
      <c r="F410" t="s">
        <v>1142</v>
      </c>
      <c r="G410" t="s">
        <v>35</v>
      </c>
      <c r="H410" t="s">
        <v>36</v>
      </c>
      <c r="I410" t="s">
        <v>35</v>
      </c>
      <c r="J410" t="s">
        <v>37</v>
      </c>
      <c r="K410">
        <v>148</v>
      </c>
      <c r="L410">
        <v>5</v>
      </c>
      <c r="M410">
        <v>150</v>
      </c>
      <c r="N410">
        <v>7</v>
      </c>
      <c r="O410" t="s">
        <v>36</v>
      </c>
      <c r="P410" t="s">
        <v>38</v>
      </c>
      <c r="Q410">
        <v>2</v>
      </c>
      <c r="R410">
        <v>0</v>
      </c>
      <c r="S410" t="s">
        <v>1164</v>
      </c>
      <c r="T410" t="s">
        <v>440</v>
      </c>
      <c r="U410" t="s">
        <v>69</v>
      </c>
      <c r="V410" t="s">
        <v>642</v>
      </c>
      <c r="W410" t="s">
        <v>146</v>
      </c>
      <c r="X410" t="s">
        <v>631</v>
      </c>
      <c r="Y410" t="s">
        <v>45</v>
      </c>
      <c r="Z410">
        <v>20</v>
      </c>
      <c r="AA410">
        <v>6</v>
      </c>
      <c r="AB410" t="s">
        <v>46</v>
      </c>
      <c r="AC410" t="s">
        <v>47</v>
      </c>
      <c r="AD410" t="s">
        <v>1165</v>
      </c>
      <c r="AE410" t="s">
        <v>1166</v>
      </c>
    </row>
    <row r="411" spans="1:31" x14ac:dyDescent="0.2">
      <c r="A411" t="s">
        <v>31</v>
      </c>
      <c r="B411">
        <v>2014</v>
      </c>
      <c r="C411">
        <v>12</v>
      </c>
      <c r="D411" s="1">
        <v>41754</v>
      </c>
      <c r="E411" t="s">
        <v>72</v>
      </c>
      <c r="F411" t="s">
        <v>1151</v>
      </c>
      <c r="G411" t="s">
        <v>968</v>
      </c>
      <c r="H411" t="s">
        <v>65</v>
      </c>
      <c r="I411" t="s">
        <v>968</v>
      </c>
      <c r="J411" t="s">
        <v>54</v>
      </c>
      <c r="K411">
        <v>184</v>
      </c>
      <c r="L411">
        <v>1</v>
      </c>
      <c r="M411">
        <v>180</v>
      </c>
      <c r="N411">
        <v>4</v>
      </c>
      <c r="O411" t="s">
        <v>968</v>
      </c>
      <c r="P411" t="s">
        <v>38</v>
      </c>
      <c r="Q411">
        <v>4</v>
      </c>
      <c r="R411">
        <v>0</v>
      </c>
      <c r="S411" t="s">
        <v>994</v>
      </c>
      <c r="T411" t="s">
        <v>681</v>
      </c>
      <c r="U411" t="s">
        <v>297</v>
      </c>
      <c r="V411" t="s">
        <v>111</v>
      </c>
      <c r="W411" t="s">
        <v>80</v>
      </c>
      <c r="X411" t="s">
        <v>174</v>
      </c>
      <c r="Y411" t="s">
        <v>45</v>
      </c>
      <c r="Z411">
        <v>20</v>
      </c>
      <c r="AA411">
        <v>6</v>
      </c>
      <c r="AB411" t="s">
        <v>46</v>
      </c>
      <c r="AC411" t="s">
        <v>47</v>
      </c>
      <c r="AD411" t="s">
        <v>1167</v>
      </c>
      <c r="AE411" t="s">
        <v>1168</v>
      </c>
    </row>
    <row r="412" spans="1:31" x14ac:dyDescent="0.2">
      <c r="A412" t="s">
        <v>31</v>
      </c>
      <c r="B412">
        <v>2014</v>
      </c>
      <c r="C412">
        <v>13</v>
      </c>
      <c r="D412" s="1">
        <v>41754</v>
      </c>
      <c r="E412" t="s">
        <v>72</v>
      </c>
      <c r="F412" t="s">
        <v>1151</v>
      </c>
      <c r="G412" t="s">
        <v>53</v>
      </c>
      <c r="H412" t="s">
        <v>87</v>
      </c>
      <c r="I412" t="s">
        <v>87</v>
      </c>
      <c r="J412" t="s">
        <v>54</v>
      </c>
      <c r="K412">
        <v>142</v>
      </c>
      <c r="L412">
        <v>3</v>
      </c>
      <c r="M412">
        <v>141</v>
      </c>
      <c r="N412">
        <v>7</v>
      </c>
      <c r="O412" t="s">
        <v>53</v>
      </c>
      <c r="P412" t="s">
        <v>38</v>
      </c>
      <c r="Q412">
        <v>0</v>
      </c>
      <c r="R412">
        <v>7</v>
      </c>
      <c r="S412" t="s">
        <v>1169</v>
      </c>
      <c r="T412" t="s">
        <v>681</v>
      </c>
      <c r="U412" t="s">
        <v>80</v>
      </c>
      <c r="V412" t="s">
        <v>297</v>
      </c>
      <c r="W412" t="s">
        <v>111</v>
      </c>
      <c r="X412" t="s">
        <v>174</v>
      </c>
      <c r="Y412" t="s">
        <v>45</v>
      </c>
      <c r="Z412">
        <v>20</v>
      </c>
      <c r="AA412">
        <v>6</v>
      </c>
      <c r="AB412" t="s">
        <v>46</v>
      </c>
      <c r="AC412" t="s">
        <v>47</v>
      </c>
      <c r="AD412" t="s">
        <v>1170</v>
      </c>
      <c r="AE412" t="s">
        <v>1171</v>
      </c>
    </row>
    <row r="413" spans="1:31" x14ac:dyDescent="0.2">
      <c r="A413" t="s">
        <v>31</v>
      </c>
      <c r="B413">
        <v>2014</v>
      </c>
      <c r="C413">
        <v>14</v>
      </c>
      <c r="D413" s="1">
        <v>41755</v>
      </c>
      <c r="E413" t="s">
        <v>1137</v>
      </c>
      <c r="F413" t="s">
        <v>1138</v>
      </c>
      <c r="G413" t="s">
        <v>66</v>
      </c>
      <c r="H413" t="s">
        <v>35</v>
      </c>
      <c r="I413" t="s">
        <v>66</v>
      </c>
      <c r="J413" t="s">
        <v>37</v>
      </c>
      <c r="K413">
        <v>71</v>
      </c>
      <c r="L413">
        <v>4</v>
      </c>
      <c r="M413">
        <v>70</v>
      </c>
      <c r="N413">
        <v>10</v>
      </c>
      <c r="O413" t="s">
        <v>66</v>
      </c>
      <c r="P413" t="s">
        <v>38</v>
      </c>
      <c r="Q413">
        <v>0</v>
      </c>
      <c r="R413">
        <v>6</v>
      </c>
      <c r="S413" t="s">
        <v>1172</v>
      </c>
      <c r="T413" t="s">
        <v>440</v>
      </c>
      <c r="U413" t="s">
        <v>312</v>
      </c>
      <c r="V413" t="s">
        <v>105</v>
      </c>
      <c r="W413" t="s">
        <v>1139</v>
      </c>
      <c r="X413" t="s">
        <v>605</v>
      </c>
      <c r="Y413" t="s">
        <v>45</v>
      </c>
      <c r="Z413">
        <v>20</v>
      </c>
      <c r="AA413">
        <v>6</v>
      </c>
      <c r="AB413" t="s">
        <v>46</v>
      </c>
      <c r="AC413" t="s">
        <v>47</v>
      </c>
      <c r="AD413" t="s">
        <v>1173</v>
      </c>
      <c r="AE413" t="s">
        <v>1174</v>
      </c>
    </row>
    <row r="414" spans="1:31" x14ac:dyDescent="0.2">
      <c r="A414" t="s">
        <v>31</v>
      </c>
      <c r="B414">
        <v>2014</v>
      </c>
      <c r="C414">
        <v>15</v>
      </c>
      <c r="D414" s="1">
        <v>41755</v>
      </c>
      <c r="E414" t="s">
        <v>1137</v>
      </c>
      <c r="F414" t="s">
        <v>1138</v>
      </c>
      <c r="G414" t="s">
        <v>36</v>
      </c>
      <c r="H414" t="s">
        <v>52</v>
      </c>
      <c r="I414" t="s">
        <v>36</v>
      </c>
      <c r="J414" t="s">
        <v>37</v>
      </c>
      <c r="K414">
        <v>109</v>
      </c>
      <c r="L414">
        <v>10</v>
      </c>
      <c r="M414">
        <v>132</v>
      </c>
      <c r="N414">
        <v>9</v>
      </c>
      <c r="O414" t="s">
        <v>52</v>
      </c>
      <c r="P414" t="s">
        <v>38</v>
      </c>
      <c r="Q414">
        <v>23</v>
      </c>
      <c r="R414">
        <v>0</v>
      </c>
      <c r="S414" t="s">
        <v>1175</v>
      </c>
      <c r="T414" t="s">
        <v>440</v>
      </c>
      <c r="U414" t="s">
        <v>312</v>
      </c>
      <c r="V414" t="s">
        <v>1139</v>
      </c>
      <c r="W414" t="s">
        <v>105</v>
      </c>
      <c r="X414" t="s">
        <v>605</v>
      </c>
      <c r="Y414" t="s">
        <v>45</v>
      </c>
      <c r="Z414">
        <v>20</v>
      </c>
      <c r="AA414">
        <v>6</v>
      </c>
      <c r="AB414" t="s">
        <v>46</v>
      </c>
      <c r="AC414" t="s">
        <v>47</v>
      </c>
      <c r="AD414" t="s">
        <v>1176</v>
      </c>
      <c r="AE414" t="s">
        <v>1177</v>
      </c>
    </row>
    <row r="415" spans="1:31" x14ac:dyDescent="0.2">
      <c r="A415" t="s">
        <v>31</v>
      </c>
      <c r="B415">
        <v>2014</v>
      </c>
      <c r="C415">
        <v>16</v>
      </c>
      <c r="D415" s="1">
        <v>41756</v>
      </c>
      <c r="E415" t="s">
        <v>72</v>
      </c>
      <c r="F415" t="s">
        <v>1142</v>
      </c>
      <c r="G415" t="s">
        <v>65</v>
      </c>
      <c r="H415" t="s">
        <v>87</v>
      </c>
      <c r="I415" t="s">
        <v>87</v>
      </c>
      <c r="J415" t="s">
        <v>54</v>
      </c>
      <c r="K415">
        <v>126</v>
      </c>
      <c r="L415">
        <v>4</v>
      </c>
      <c r="M415">
        <v>125</v>
      </c>
      <c r="N415">
        <v>7</v>
      </c>
      <c r="O415" t="s">
        <v>65</v>
      </c>
      <c r="P415" t="s">
        <v>38</v>
      </c>
      <c r="Q415">
        <v>0</v>
      </c>
      <c r="R415">
        <v>6</v>
      </c>
      <c r="S415" t="s">
        <v>518</v>
      </c>
      <c r="T415" t="s">
        <v>681</v>
      </c>
      <c r="U415" t="s">
        <v>69</v>
      </c>
      <c r="V415" t="s">
        <v>642</v>
      </c>
      <c r="W415" t="s">
        <v>146</v>
      </c>
      <c r="X415" t="s">
        <v>631</v>
      </c>
      <c r="Y415" t="s">
        <v>45</v>
      </c>
      <c r="Z415">
        <v>20</v>
      </c>
      <c r="AA415">
        <v>6</v>
      </c>
      <c r="AB415" t="s">
        <v>46</v>
      </c>
      <c r="AC415" t="s">
        <v>47</v>
      </c>
      <c r="AD415" t="s">
        <v>1178</v>
      </c>
      <c r="AE415" t="s">
        <v>1179</v>
      </c>
    </row>
    <row r="416" spans="1:31" x14ac:dyDescent="0.2">
      <c r="A416" t="s">
        <v>31</v>
      </c>
      <c r="B416">
        <v>2014</v>
      </c>
      <c r="C416">
        <v>17</v>
      </c>
      <c r="D416" s="1">
        <v>41756</v>
      </c>
      <c r="E416" t="s">
        <v>72</v>
      </c>
      <c r="F416" t="s">
        <v>1142</v>
      </c>
      <c r="G416" t="s">
        <v>968</v>
      </c>
      <c r="H416" t="s">
        <v>53</v>
      </c>
      <c r="I416" t="s">
        <v>968</v>
      </c>
      <c r="J416" t="s">
        <v>54</v>
      </c>
      <c r="K416">
        <v>145</v>
      </c>
      <c r="L416">
        <v>5</v>
      </c>
      <c r="M416">
        <v>146</v>
      </c>
      <c r="N416">
        <v>5</v>
      </c>
      <c r="O416" t="s">
        <v>53</v>
      </c>
      <c r="P416" t="s">
        <v>38</v>
      </c>
      <c r="Q416">
        <v>0</v>
      </c>
      <c r="R416">
        <v>5</v>
      </c>
      <c r="S416" t="s">
        <v>388</v>
      </c>
      <c r="T416" t="s">
        <v>681</v>
      </c>
      <c r="U416" t="s">
        <v>146</v>
      </c>
      <c r="V416" t="s">
        <v>642</v>
      </c>
      <c r="W416" t="s">
        <v>69</v>
      </c>
      <c r="X416" t="s">
        <v>631</v>
      </c>
      <c r="Y416" t="s">
        <v>45</v>
      </c>
      <c r="Z416">
        <v>20</v>
      </c>
      <c r="AA416">
        <v>6</v>
      </c>
      <c r="AB416" t="s">
        <v>46</v>
      </c>
      <c r="AC416" t="s">
        <v>47</v>
      </c>
      <c r="AD416" t="s">
        <v>1180</v>
      </c>
      <c r="AE416" t="s">
        <v>1181</v>
      </c>
    </row>
    <row r="417" spans="1:31" x14ac:dyDescent="0.2">
      <c r="A417" t="s">
        <v>31</v>
      </c>
      <c r="B417">
        <v>2014</v>
      </c>
      <c r="C417">
        <v>18</v>
      </c>
      <c r="D417" s="1">
        <v>41757</v>
      </c>
      <c r="E417" t="s">
        <v>72</v>
      </c>
      <c r="F417" t="s">
        <v>1151</v>
      </c>
      <c r="G417" t="s">
        <v>52</v>
      </c>
      <c r="H417" t="s">
        <v>35</v>
      </c>
      <c r="I417" t="s">
        <v>52</v>
      </c>
      <c r="J417" t="s">
        <v>37</v>
      </c>
      <c r="K417">
        <v>127</v>
      </c>
      <c r="L417">
        <v>5</v>
      </c>
      <c r="M417">
        <v>124</v>
      </c>
      <c r="N417">
        <v>8</v>
      </c>
      <c r="O417" t="s">
        <v>52</v>
      </c>
      <c r="P417" t="s">
        <v>38</v>
      </c>
      <c r="Q417">
        <v>0</v>
      </c>
      <c r="R417">
        <v>5</v>
      </c>
      <c r="S417" t="s">
        <v>1175</v>
      </c>
      <c r="T417" t="s">
        <v>440</v>
      </c>
      <c r="U417" t="s">
        <v>80</v>
      </c>
      <c r="V417" t="s">
        <v>111</v>
      </c>
      <c r="W417" t="s">
        <v>297</v>
      </c>
      <c r="X417" t="s">
        <v>174</v>
      </c>
      <c r="Y417" t="s">
        <v>45</v>
      </c>
      <c r="Z417">
        <v>20</v>
      </c>
      <c r="AA417">
        <v>6</v>
      </c>
      <c r="AB417" t="s">
        <v>46</v>
      </c>
      <c r="AC417" t="s">
        <v>47</v>
      </c>
      <c r="AD417" t="s">
        <v>1182</v>
      </c>
      <c r="AE417" t="s">
        <v>1183</v>
      </c>
    </row>
    <row r="418" spans="1:31" x14ac:dyDescent="0.2">
      <c r="A418" t="s">
        <v>31</v>
      </c>
      <c r="B418">
        <v>2014</v>
      </c>
      <c r="C418">
        <v>19</v>
      </c>
      <c r="D418" s="1">
        <v>41758</v>
      </c>
      <c r="E418" t="s">
        <v>1137</v>
      </c>
      <c r="F418" t="s">
        <v>1138</v>
      </c>
      <c r="G418" t="s">
        <v>36</v>
      </c>
      <c r="H418" t="s">
        <v>66</v>
      </c>
      <c r="I418" t="s">
        <v>66</v>
      </c>
      <c r="J418" t="s">
        <v>54</v>
      </c>
      <c r="K418">
        <v>163</v>
      </c>
      <c r="L418">
        <v>10</v>
      </c>
      <c r="M418">
        <v>163</v>
      </c>
      <c r="N418">
        <v>5</v>
      </c>
      <c r="O418" t="s">
        <v>304</v>
      </c>
      <c r="P418" t="s">
        <v>305</v>
      </c>
      <c r="Q418">
        <v>0</v>
      </c>
      <c r="R418">
        <v>0</v>
      </c>
      <c r="S418" t="s">
        <v>1005</v>
      </c>
      <c r="T418" t="s">
        <v>681</v>
      </c>
      <c r="U418" t="s">
        <v>69</v>
      </c>
      <c r="V418" t="s">
        <v>146</v>
      </c>
      <c r="W418" t="s">
        <v>642</v>
      </c>
      <c r="X418" t="s">
        <v>605</v>
      </c>
      <c r="Y418" t="s">
        <v>45</v>
      </c>
      <c r="Z418">
        <v>20</v>
      </c>
      <c r="AA418">
        <v>6</v>
      </c>
      <c r="AB418" t="s">
        <v>46</v>
      </c>
      <c r="AC418" t="s">
        <v>47</v>
      </c>
      <c r="AD418" t="s">
        <v>1184</v>
      </c>
      <c r="AE418" t="s">
        <v>1185</v>
      </c>
    </row>
    <row r="419" spans="1:31" x14ac:dyDescent="0.2">
      <c r="A419" t="s">
        <v>31</v>
      </c>
      <c r="B419">
        <v>2014</v>
      </c>
      <c r="C419">
        <v>20</v>
      </c>
      <c r="D419" s="1">
        <v>41759</v>
      </c>
      <c r="E419" t="s">
        <v>72</v>
      </c>
      <c r="F419" t="s">
        <v>1151</v>
      </c>
      <c r="G419" t="s">
        <v>87</v>
      </c>
      <c r="H419" t="s">
        <v>968</v>
      </c>
      <c r="I419" t="s">
        <v>87</v>
      </c>
      <c r="J419" t="s">
        <v>37</v>
      </c>
      <c r="K419">
        <v>157</v>
      </c>
      <c r="L419">
        <v>7</v>
      </c>
      <c r="M419">
        <v>172</v>
      </c>
      <c r="N419">
        <v>5</v>
      </c>
      <c r="O419" t="s">
        <v>968</v>
      </c>
      <c r="P419" t="s">
        <v>38</v>
      </c>
      <c r="Q419">
        <v>15</v>
      </c>
      <c r="R419">
        <v>0</v>
      </c>
      <c r="S419" t="s">
        <v>1186</v>
      </c>
      <c r="T419" t="s">
        <v>440</v>
      </c>
      <c r="U419" t="s">
        <v>312</v>
      </c>
      <c r="V419" t="s">
        <v>297</v>
      </c>
      <c r="W419" t="s">
        <v>111</v>
      </c>
      <c r="X419" t="s">
        <v>174</v>
      </c>
      <c r="Y419" t="s">
        <v>45</v>
      </c>
      <c r="Z419">
        <v>20</v>
      </c>
      <c r="AA419">
        <v>6</v>
      </c>
      <c r="AB419" t="s">
        <v>46</v>
      </c>
      <c r="AC419" t="s">
        <v>47</v>
      </c>
      <c r="AD419" t="s">
        <v>1187</v>
      </c>
      <c r="AE419" t="s">
        <v>1188</v>
      </c>
    </row>
    <row r="420" spans="1:31" x14ac:dyDescent="0.2">
      <c r="A420" t="s">
        <v>31</v>
      </c>
      <c r="B420">
        <v>2014</v>
      </c>
      <c r="C420">
        <v>21</v>
      </c>
      <c r="D420" s="1">
        <v>41761</v>
      </c>
      <c r="E420" t="s">
        <v>1099</v>
      </c>
      <c r="F420" t="s">
        <v>1100</v>
      </c>
      <c r="G420" t="s">
        <v>53</v>
      </c>
      <c r="H420" t="s">
        <v>36</v>
      </c>
      <c r="I420" t="s">
        <v>53</v>
      </c>
      <c r="J420" t="s">
        <v>54</v>
      </c>
      <c r="K420">
        <v>148</v>
      </c>
      <c r="L420">
        <v>3</v>
      </c>
      <c r="M420">
        <v>114</v>
      </c>
      <c r="N420">
        <v>9</v>
      </c>
      <c r="O420" t="s">
        <v>53</v>
      </c>
      <c r="P420" t="s">
        <v>38</v>
      </c>
      <c r="Q420">
        <v>34</v>
      </c>
      <c r="R420">
        <v>0</v>
      </c>
      <c r="S420" t="s">
        <v>802</v>
      </c>
      <c r="T420" t="s">
        <v>40</v>
      </c>
      <c r="U420" t="s">
        <v>146</v>
      </c>
      <c r="V420" t="s">
        <v>1064</v>
      </c>
      <c r="W420" t="s">
        <v>158</v>
      </c>
      <c r="X420" t="s">
        <v>1189</v>
      </c>
      <c r="Y420" t="s">
        <v>45</v>
      </c>
      <c r="Z420">
        <v>20</v>
      </c>
      <c r="AA420">
        <v>6</v>
      </c>
      <c r="AB420" t="s">
        <v>46</v>
      </c>
      <c r="AC420" t="s">
        <v>47</v>
      </c>
      <c r="AD420" t="s">
        <v>1190</v>
      </c>
      <c r="AE420" t="s">
        <v>1191</v>
      </c>
    </row>
    <row r="421" spans="1:31" x14ac:dyDescent="0.2">
      <c r="A421" t="s">
        <v>31</v>
      </c>
      <c r="B421">
        <v>2014</v>
      </c>
      <c r="C421">
        <v>22</v>
      </c>
      <c r="D421" s="1">
        <v>41762</v>
      </c>
      <c r="E421" t="s">
        <v>85</v>
      </c>
      <c r="F421" t="s">
        <v>86</v>
      </c>
      <c r="G421" t="s">
        <v>87</v>
      </c>
      <c r="H421" t="s">
        <v>52</v>
      </c>
      <c r="I421" t="s">
        <v>52</v>
      </c>
      <c r="J421" t="s">
        <v>54</v>
      </c>
      <c r="K421">
        <v>170</v>
      </c>
      <c r="L421">
        <v>5</v>
      </c>
      <c r="M421">
        <v>168</v>
      </c>
      <c r="N421">
        <v>5</v>
      </c>
      <c r="O421" t="s">
        <v>87</v>
      </c>
      <c r="P421" t="s">
        <v>38</v>
      </c>
      <c r="Q421">
        <v>0</v>
      </c>
      <c r="R421">
        <v>5</v>
      </c>
      <c r="S421" t="s">
        <v>1192</v>
      </c>
      <c r="T421" t="s">
        <v>783</v>
      </c>
      <c r="U421" t="s">
        <v>819</v>
      </c>
      <c r="V421" t="s">
        <v>105</v>
      </c>
      <c r="W421" t="s">
        <v>201</v>
      </c>
      <c r="X421" t="s">
        <v>1193</v>
      </c>
      <c r="Y421" t="s">
        <v>45</v>
      </c>
      <c r="Z421">
        <v>20</v>
      </c>
      <c r="AA421">
        <v>6</v>
      </c>
      <c r="AB421" t="s">
        <v>46</v>
      </c>
      <c r="AC421" t="s">
        <v>47</v>
      </c>
      <c r="AD421" t="s">
        <v>1194</v>
      </c>
      <c r="AE421" t="s">
        <v>1195</v>
      </c>
    </row>
    <row r="422" spans="1:31" x14ac:dyDescent="0.2">
      <c r="A422" t="s">
        <v>31</v>
      </c>
      <c r="B422">
        <v>2014</v>
      </c>
      <c r="C422">
        <v>23</v>
      </c>
      <c r="D422" s="1">
        <v>41762</v>
      </c>
      <c r="E422" t="s">
        <v>63</v>
      </c>
      <c r="F422" t="s">
        <v>64</v>
      </c>
      <c r="G422" t="s">
        <v>65</v>
      </c>
      <c r="H422" t="s">
        <v>66</v>
      </c>
      <c r="I422" t="s">
        <v>66</v>
      </c>
      <c r="J422" t="s">
        <v>37</v>
      </c>
      <c r="K422">
        <v>152</v>
      </c>
      <c r="L422">
        <v>5</v>
      </c>
      <c r="M422">
        <v>156</v>
      </c>
      <c r="N422">
        <v>3</v>
      </c>
      <c r="O422" t="s">
        <v>66</v>
      </c>
      <c r="P422" t="s">
        <v>38</v>
      </c>
      <c r="Q422">
        <v>0</v>
      </c>
      <c r="R422">
        <v>7</v>
      </c>
      <c r="S422" t="s">
        <v>1196</v>
      </c>
      <c r="T422" t="s">
        <v>440</v>
      </c>
      <c r="U422" t="s">
        <v>354</v>
      </c>
      <c r="V422" t="s">
        <v>111</v>
      </c>
      <c r="W422" t="s">
        <v>605</v>
      </c>
      <c r="X422" t="s">
        <v>1197</v>
      </c>
      <c r="Y422" t="s">
        <v>45</v>
      </c>
      <c r="Z422">
        <v>20</v>
      </c>
      <c r="AA422">
        <v>6</v>
      </c>
      <c r="AB422" t="s">
        <v>46</v>
      </c>
      <c r="AC422" t="s">
        <v>47</v>
      </c>
      <c r="AD422" t="s">
        <v>1198</v>
      </c>
      <c r="AE422" t="s">
        <v>1199</v>
      </c>
    </row>
    <row r="423" spans="1:31" x14ac:dyDescent="0.2">
      <c r="A423" t="s">
        <v>31</v>
      </c>
      <c r="B423">
        <v>2014</v>
      </c>
      <c r="C423">
        <v>24</v>
      </c>
      <c r="D423" s="1">
        <v>41763</v>
      </c>
      <c r="E423" t="s">
        <v>33</v>
      </c>
      <c r="F423" t="s">
        <v>34</v>
      </c>
      <c r="G423" t="s">
        <v>35</v>
      </c>
      <c r="H423" t="s">
        <v>968</v>
      </c>
      <c r="I423" t="s">
        <v>35</v>
      </c>
      <c r="J423" t="s">
        <v>37</v>
      </c>
      <c r="K423">
        <v>158</v>
      </c>
      <c r="L423">
        <v>6</v>
      </c>
      <c r="M423">
        <v>155</v>
      </c>
      <c r="N423">
        <v>6</v>
      </c>
      <c r="O423" t="s">
        <v>35</v>
      </c>
      <c r="P423" t="s">
        <v>38</v>
      </c>
      <c r="Q423">
        <v>0</v>
      </c>
      <c r="R423">
        <v>4</v>
      </c>
      <c r="S423" t="s">
        <v>300</v>
      </c>
      <c r="T423" t="s">
        <v>502</v>
      </c>
      <c r="U423" t="s">
        <v>312</v>
      </c>
      <c r="V423" t="s">
        <v>642</v>
      </c>
      <c r="W423" t="s">
        <v>791</v>
      </c>
      <c r="X423" t="s">
        <v>455</v>
      </c>
      <c r="Y423" t="s">
        <v>45</v>
      </c>
      <c r="Z423">
        <v>20</v>
      </c>
      <c r="AA423">
        <v>6</v>
      </c>
      <c r="AB423" t="s">
        <v>46</v>
      </c>
      <c r="AC423" t="s">
        <v>47</v>
      </c>
      <c r="AD423" t="s">
        <v>1200</v>
      </c>
      <c r="AE423" t="s">
        <v>1201</v>
      </c>
    </row>
    <row r="424" spans="1:31" x14ac:dyDescent="0.2">
      <c r="A424" t="s">
        <v>31</v>
      </c>
      <c r="B424">
        <v>2014</v>
      </c>
      <c r="C424">
        <v>25</v>
      </c>
      <c r="D424" s="1">
        <v>41764</v>
      </c>
      <c r="E424" t="s">
        <v>458</v>
      </c>
      <c r="F424" t="s">
        <v>459</v>
      </c>
      <c r="G424" t="s">
        <v>66</v>
      </c>
      <c r="H424" t="s">
        <v>36</v>
      </c>
      <c r="I424" t="s">
        <v>36</v>
      </c>
      <c r="J424" t="s">
        <v>37</v>
      </c>
      <c r="K424">
        <v>170</v>
      </c>
      <c r="L424">
        <v>6</v>
      </c>
      <c r="M424">
        <v>160</v>
      </c>
      <c r="N424">
        <v>6</v>
      </c>
      <c r="O424" t="s">
        <v>66</v>
      </c>
      <c r="P424" t="s">
        <v>38</v>
      </c>
      <c r="Q424">
        <v>10</v>
      </c>
      <c r="R424">
        <v>0</v>
      </c>
      <c r="S424" t="s">
        <v>1172</v>
      </c>
      <c r="T424" t="s">
        <v>783</v>
      </c>
      <c r="U424" t="s">
        <v>1064</v>
      </c>
      <c r="V424" t="s">
        <v>158</v>
      </c>
      <c r="W424" t="s">
        <v>146</v>
      </c>
      <c r="X424" t="s">
        <v>989</v>
      </c>
      <c r="Y424" t="s">
        <v>45</v>
      </c>
      <c r="Z424">
        <v>20</v>
      </c>
      <c r="AA424">
        <v>6</v>
      </c>
      <c r="AB424" t="s">
        <v>46</v>
      </c>
      <c r="AC424" t="s">
        <v>47</v>
      </c>
      <c r="AD424" t="s">
        <v>1202</v>
      </c>
      <c r="AE424" t="s">
        <v>1203</v>
      </c>
    </row>
    <row r="425" spans="1:31" x14ac:dyDescent="0.2">
      <c r="A425" t="s">
        <v>31</v>
      </c>
      <c r="B425">
        <v>2014</v>
      </c>
      <c r="C425">
        <v>26</v>
      </c>
      <c r="D425" s="1">
        <v>41764</v>
      </c>
      <c r="E425" t="s">
        <v>63</v>
      </c>
      <c r="F425" t="s">
        <v>64</v>
      </c>
      <c r="G425" t="s">
        <v>65</v>
      </c>
      <c r="H425" t="s">
        <v>53</v>
      </c>
      <c r="I425" t="s">
        <v>53</v>
      </c>
      <c r="J425" t="s">
        <v>37</v>
      </c>
      <c r="K425">
        <v>178</v>
      </c>
      <c r="L425">
        <v>5</v>
      </c>
      <c r="M425">
        <v>181</v>
      </c>
      <c r="N425">
        <v>2</v>
      </c>
      <c r="O425" t="s">
        <v>53</v>
      </c>
      <c r="P425" t="s">
        <v>38</v>
      </c>
      <c r="Q425">
        <v>0</v>
      </c>
      <c r="R425">
        <v>8</v>
      </c>
      <c r="S425" t="s">
        <v>388</v>
      </c>
      <c r="T425" t="s">
        <v>40</v>
      </c>
      <c r="U425" t="s">
        <v>201</v>
      </c>
      <c r="V425" t="s">
        <v>819</v>
      </c>
      <c r="W425" t="s">
        <v>105</v>
      </c>
      <c r="X425" t="s">
        <v>1197</v>
      </c>
      <c r="Y425" t="s">
        <v>45</v>
      </c>
      <c r="Z425">
        <v>20</v>
      </c>
      <c r="AA425">
        <v>6</v>
      </c>
      <c r="AB425" t="s">
        <v>46</v>
      </c>
      <c r="AC425" t="s">
        <v>47</v>
      </c>
      <c r="AD425" t="s">
        <v>1204</v>
      </c>
      <c r="AE425" t="s">
        <v>1205</v>
      </c>
    </row>
    <row r="426" spans="1:31" x14ac:dyDescent="0.2">
      <c r="A426" t="s">
        <v>31</v>
      </c>
      <c r="B426">
        <v>2014</v>
      </c>
      <c r="C426">
        <v>27</v>
      </c>
      <c r="D426" s="1">
        <v>41765</v>
      </c>
      <c r="E426" t="s">
        <v>85</v>
      </c>
      <c r="F426" t="s">
        <v>86</v>
      </c>
      <c r="G426" t="s">
        <v>87</v>
      </c>
      <c r="H426" t="s">
        <v>35</v>
      </c>
      <c r="I426" t="s">
        <v>35</v>
      </c>
      <c r="J426" t="s">
        <v>37</v>
      </c>
      <c r="K426">
        <v>187</v>
      </c>
      <c r="L426">
        <v>5</v>
      </c>
      <c r="M426">
        <v>168</v>
      </c>
      <c r="N426">
        <v>8</v>
      </c>
      <c r="O426" t="s">
        <v>87</v>
      </c>
      <c r="P426" t="s">
        <v>38</v>
      </c>
      <c r="Q426">
        <v>19</v>
      </c>
      <c r="R426">
        <v>0</v>
      </c>
      <c r="S426" t="s">
        <v>369</v>
      </c>
      <c r="T426" t="s">
        <v>440</v>
      </c>
      <c r="U426" t="s">
        <v>111</v>
      </c>
      <c r="V426" t="s">
        <v>605</v>
      </c>
      <c r="W426" t="s">
        <v>354</v>
      </c>
      <c r="X426" t="s">
        <v>1193</v>
      </c>
      <c r="Y426" t="s">
        <v>45</v>
      </c>
      <c r="Z426">
        <v>20</v>
      </c>
      <c r="AA426">
        <v>6</v>
      </c>
      <c r="AB426" t="s">
        <v>46</v>
      </c>
      <c r="AC426" t="s">
        <v>47</v>
      </c>
      <c r="AD426" t="s">
        <v>1206</v>
      </c>
      <c r="AE426" t="s">
        <v>1207</v>
      </c>
    </row>
    <row r="427" spans="1:31" x14ac:dyDescent="0.2">
      <c r="A427" t="s">
        <v>31</v>
      </c>
      <c r="B427">
        <v>2014</v>
      </c>
      <c r="C427">
        <v>28</v>
      </c>
      <c r="D427" s="1">
        <v>41766</v>
      </c>
      <c r="E427" t="s">
        <v>63</v>
      </c>
      <c r="F427" t="s">
        <v>64</v>
      </c>
      <c r="G427" t="s">
        <v>65</v>
      </c>
      <c r="H427" t="s">
        <v>36</v>
      </c>
      <c r="I427" t="s">
        <v>65</v>
      </c>
      <c r="J427" t="s">
        <v>54</v>
      </c>
      <c r="K427">
        <v>160</v>
      </c>
      <c r="L427">
        <v>5</v>
      </c>
      <c r="M427">
        <v>161</v>
      </c>
      <c r="N427">
        <v>2</v>
      </c>
      <c r="O427" t="s">
        <v>36</v>
      </c>
      <c r="P427" t="s">
        <v>38</v>
      </c>
      <c r="Q427">
        <v>0</v>
      </c>
      <c r="R427">
        <v>8</v>
      </c>
      <c r="S427" t="s">
        <v>366</v>
      </c>
      <c r="T427" t="s">
        <v>40</v>
      </c>
      <c r="U427" t="s">
        <v>819</v>
      </c>
      <c r="V427" t="s">
        <v>105</v>
      </c>
      <c r="W427" t="s">
        <v>201</v>
      </c>
      <c r="X427" t="s">
        <v>1197</v>
      </c>
      <c r="Y427" t="s">
        <v>45</v>
      </c>
      <c r="Z427">
        <v>20</v>
      </c>
      <c r="AA427">
        <v>6</v>
      </c>
      <c r="AB427" t="s">
        <v>46</v>
      </c>
      <c r="AC427" t="s">
        <v>47</v>
      </c>
      <c r="AD427" t="s">
        <v>1208</v>
      </c>
      <c r="AE427" t="s">
        <v>1209</v>
      </c>
    </row>
    <row r="428" spans="1:31" x14ac:dyDescent="0.2">
      <c r="A428" t="s">
        <v>31</v>
      </c>
      <c r="B428">
        <v>2014</v>
      </c>
      <c r="C428">
        <v>29</v>
      </c>
      <c r="D428" s="1">
        <v>41766</v>
      </c>
      <c r="E428" t="s">
        <v>473</v>
      </c>
      <c r="F428" t="s">
        <v>474</v>
      </c>
      <c r="G428" t="s">
        <v>52</v>
      </c>
      <c r="H428" t="s">
        <v>53</v>
      </c>
      <c r="I428" t="s">
        <v>53</v>
      </c>
      <c r="J428" t="s">
        <v>37</v>
      </c>
      <c r="K428">
        <v>231</v>
      </c>
      <c r="L428">
        <v>4</v>
      </c>
      <c r="M428">
        <v>187</v>
      </c>
      <c r="N428">
        <v>6</v>
      </c>
      <c r="O428" t="s">
        <v>52</v>
      </c>
      <c r="P428" t="s">
        <v>38</v>
      </c>
      <c r="Q428">
        <v>44</v>
      </c>
      <c r="R428">
        <v>0</v>
      </c>
      <c r="S428" t="s">
        <v>1146</v>
      </c>
      <c r="T428" t="s">
        <v>502</v>
      </c>
      <c r="U428" t="s">
        <v>312</v>
      </c>
      <c r="V428" t="s">
        <v>791</v>
      </c>
      <c r="W428" t="s">
        <v>642</v>
      </c>
      <c r="X428" t="s">
        <v>1210</v>
      </c>
      <c r="Y428" t="s">
        <v>45</v>
      </c>
      <c r="Z428">
        <v>20</v>
      </c>
      <c r="AA428">
        <v>6</v>
      </c>
      <c r="AB428" t="s">
        <v>46</v>
      </c>
      <c r="AC428" t="s">
        <v>47</v>
      </c>
      <c r="AD428" t="s">
        <v>1211</v>
      </c>
      <c r="AE428" t="s">
        <v>1212</v>
      </c>
    </row>
    <row r="429" spans="1:31" x14ac:dyDescent="0.2">
      <c r="A429" t="s">
        <v>31</v>
      </c>
      <c r="B429">
        <v>2014</v>
      </c>
      <c r="C429">
        <v>30</v>
      </c>
      <c r="D429" s="1">
        <v>41767</v>
      </c>
      <c r="E429" t="s">
        <v>458</v>
      </c>
      <c r="F429" t="s">
        <v>459</v>
      </c>
      <c r="G429" t="s">
        <v>66</v>
      </c>
      <c r="H429" t="s">
        <v>968</v>
      </c>
      <c r="I429" t="s">
        <v>66</v>
      </c>
      <c r="J429" t="s">
        <v>37</v>
      </c>
      <c r="K429">
        <v>102</v>
      </c>
      <c r="L429">
        <v>10</v>
      </c>
      <c r="M429">
        <v>134</v>
      </c>
      <c r="N429">
        <v>9</v>
      </c>
      <c r="O429" t="s">
        <v>968</v>
      </c>
      <c r="P429" t="s">
        <v>38</v>
      </c>
      <c r="Q429">
        <v>32</v>
      </c>
      <c r="R429">
        <v>0</v>
      </c>
      <c r="S429" t="s">
        <v>1186</v>
      </c>
      <c r="T429" t="s">
        <v>783</v>
      </c>
      <c r="U429" t="s">
        <v>146</v>
      </c>
      <c r="V429" t="s">
        <v>1064</v>
      </c>
      <c r="W429" t="s">
        <v>158</v>
      </c>
      <c r="X429" t="s">
        <v>989</v>
      </c>
      <c r="Y429" t="s">
        <v>45</v>
      </c>
      <c r="Z429">
        <v>20</v>
      </c>
      <c r="AA429">
        <v>6</v>
      </c>
      <c r="AB429" t="s">
        <v>46</v>
      </c>
      <c r="AC429" t="s">
        <v>47</v>
      </c>
      <c r="AD429" t="s">
        <v>1213</v>
      </c>
      <c r="AE429" t="s">
        <v>1214</v>
      </c>
    </row>
    <row r="430" spans="1:31" x14ac:dyDescent="0.2">
      <c r="A430" t="s">
        <v>31</v>
      </c>
      <c r="B430">
        <v>2014</v>
      </c>
      <c r="C430">
        <v>31</v>
      </c>
      <c r="D430" s="1">
        <v>41768</v>
      </c>
      <c r="E430" t="s">
        <v>33</v>
      </c>
      <c r="F430" t="s">
        <v>34</v>
      </c>
      <c r="G430" t="s">
        <v>35</v>
      </c>
      <c r="H430" t="s">
        <v>52</v>
      </c>
      <c r="I430" t="s">
        <v>35</v>
      </c>
      <c r="J430" t="s">
        <v>37</v>
      </c>
      <c r="K430">
        <v>166</v>
      </c>
      <c r="L430">
        <v>9</v>
      </c>
      <c r="M430">
        <v>198</v>
      </c>
      <c r="N430">
        <v>8</v>
      </c>
      <c r="O430" t="s">
        <v>52</v>
      </c>
      <c r="P430" t="s">
        <v>38</v>
      </c>
      <c r="Q430">
        <v>32</v>
      </c>
      <c r="R430">
        <v>0</v>
      </c>
      <c r="S430" t="s">
        <v>1175</v>
      </c>
      <c r="T430" t="s">
        <v>440</v>
      </c>
      <c r="U430" t="s">
        <v>111</v>
      </c>
      <c r="V430" t="s">
        <v>605</v>
      </c>
      <c r="W430" t="s">
        <v>174</v>
      </c>
      <c r="X430" t="s">
        <v>463</v>
      </c>
      <c r="Y430" t="s">
        <v>45</v>
      </c>
      <c r="Z430">
        <v>20</v>
      </c>
      <c r="AA430">
        <v>6</v>
      </c>
      <c r="AB430" t="s">
        <v>46</v>
      </c>
      <c r="AC430" t="s">
        <v>47</v>
      </c>
      <c r="AD430" t="s">
        <v>1215</v>
      </c>
      <c r="AE430" t="s">
        <v>1216</v>
      </c>
    </row>
    <row r="431" spans="1:31" x14ac:dyDescent="0.2">
      <c r="A431" t="s">
        <v>31</v>
      </c>
      <c r="B431">
        <v>2014</v>
      </c>
      <c r="C431">
        <v>32</v>
      </c>
      <c r="D431" s="1">
        <v>41769</v>
      </c>
      <c r="E431" t="s">
        <v>63</v>
      </c>
      <c r="F431" t="s">
        <v>64</v>
      </c>
      <c r="G431" t="s">
        <v>65</v>
      </c>
      <c r="H431" t="s">
        <v>968</v>
      </c>
      <c r="I431" t="s">
        <v>968</v>
      </c>
      <c r="J431" t="s">
        <v>37</v>
      </c>
      <c r="K431">
        <v>143</v>
      </c>
      <c r="L431">
        <v>7</v>
      </c>
      <c r="M431">
        <v>44</v>
      </c>
      <c r="N431">
        <v>2</v>
      </c>
      <c r="O431" t="s">
        <v>968</v>
      </c>
      <c r="P431" t="s">
        <v>38</v>
      </c>
      <c r="Q431">
        <v>0</v>
      </c>
      <c r="R431">
        <v>8</v>
      </c>
      <c r="S431" t="s">
        <v>637</v>
      </c>
      <c r="T431" t="s">
        <v>40</v>
      </c>
      <c r="U431" t="s">
        <v>201</v>
      </c>
      <c r="V431" t="s">
        <v>819</v>
      </c>
      <c r="W431" t="s">
        <v>105</v>
      </c>
      <c r="X431" t="s">
        <v>1197</v>
      </c>
      <c r="Y431" t="s">
        <v>45</v>
      </c>
      <c r="Z431">
        <v>20</v>
      </c>
      <c r="AA431">
        <v>6</v>
      </c>
      <c r="AB431" t="s">
        <v>46</v>
      </c>
      <c r="AC431" t="s">
        <v>47</v>
      </c>
      <c r="AD431" t="s">
        <v>1217</v>
      </c>
      <c r="AE431" t="s">
        <v>1218</v>
      </c>
    </row>
    <row r="432" spans="1:31" x14ac:dyDescent="0.2">
      <c r="A432" t="s">
        <v>31</v>
      </c>
      <c r="B432">
        <v>2014</v>
      </c>
      <c r="C432">
        <v>33</v>
      </c>
      <c r="D432" s="1">
        <v>41769</v>
      </c>
      <c r="E432" t="s">
        <v>85</v>
      </c>
      <c r="F432" t="s">
        <v>86</v>
      </c>
      <c r="G432" t="s">
        <v>87</v>
      </c>
      <c r="H432" t="s">
        <v>53</v>
      </c>
      <c r="I432" t="s">
        <v>53</v>
      </c>
      <c r="J432" t="s">
        <v>37</v>
      </c>
      <c r="K432">
        <v>157</v>
      </c>
      <c r="L432">
        <v>6</v>
      </c>
      <c r="M432">
        <v>160</v>
      </c>
      <c r="N432">
        <v>6</v>
      </c>
      <c r="O432" t="s">
        <v>53</v>
      </c>
      <c r="P432" t="s">
        <v>38</v>
      </c>
      <c r="Q432">
        <v>0</v>
      </c>
      <c r="R432">
        <v>4</v>
      </c>
      <c r="S432" t="s">
        <v>388</v>
      </c>
      <c r="T432" t="s">
        <v>502</v>
      </c>
      <c r="U432" t="s">
        <v>312</v>
      </c>
      <c r="V432" t="s">
        <v>642</v>
      </c>
      <c r="W432" t="s">
        <v>791</v>
      </c>
      <c r="X432" t="s">
        <v>1193</v>
      </c>
      <c r="Y432" t="s">
        <v>45</v>
      </c>
      <c r="Z432">
        <v>20</v>
      </c>
      <c r="AA432">
        <v>6</v>
      </c>
      <c r="AB432" t="s">
        <v>46</v>
      </c>
      <c r="AC432" t="s">
        <v>47</v>
      </c>
      <c r="AD432" t="s">
        <v>1219</v>
      </c>
      <c r="AE432" t="s">
        <v>1220</v>
      </c>
    </row>
    <row r="433" spans="1:31" x14ac:dyDescent="0.2">
      <c r="A433" t="s">
        <v>31</v>
      </c>
      <c r="B433">
        <v>2014</v>
      </c>
      <c r="C433">
        <v>34</v>
      </c>
      <c r="D433" s="1">
        <v>41770</v>
      </c>
      <c r="E433" t="s">
        <v>473</v>
      </c>
      <c r="F433" t="s">
        <v>474</v>
      </c>
      <c r="G433" t="s">
        <v>52</v>
      </c>
      <c r="H433" t="s">
        <v>36</v>
      </c>
      <c r="I433" t="s">
        <v>36</v>
      </c>
      <c r="J433" t="s">
        <v>37</v>
      </c>
      <c r="K433">
        <v>149</v>
      </c>
      <c r="L433">
        <v>8</v>
      </c>
      <c r="M433">
        <v>150</v>
      </c>
      <c r="N433">
        <v>1</v>
      </c>
      <c r="O433" t="s">
        <v>36</v>
      </c>
      <c r="P433" t="s">
        <v>38</v>
      </c>
      <c r="Q433">
        <v>0</v>
      </c>
      <c r="R433">
        <v>9</v>
      </c>
      <c r="S433" t="s">
        <v>366</v>
      </c>
      <c r="T433" t="s">
        <v>783</v>
      </c>
      <c r="U433" t="s">
        <v>1064</v>
      </c>
      <c r="V433" t="s">
        <v>158</v>
      </c>
      <c r="W433" t="s">
        <v>146</v>
      </c>
      <c r="X433" t="s">
        <v>1210</v>
      </c>
      <c r="Y433" t="s">
        <v>45</v>
      </c>
      <c r="Z433">
        <v>20</v>
      </c>
      <c r="AA433">
        <v>6</v>
      </c>
      <c r="AB433" t="s">
        <v>46</v>
      </c>
      <c r="AC433" t="s">
        <v>47</v>
      </c>
      <c r="AD433" t="s">
        <v>1221</v>
      </c>
      <c r="AE433" t="s">
        <v>1222</v>
      </c>
    </row>
    <row r="434" spans="1:31" x14ac:dyDescent="0.2">
      <c r="A434" t="s">
        <v>31</v>
      </c>
      <c r="B434">
        <v>2014</v>
      </c>
      <c r="C434">
        <v>35</v>
      </c>
      <c r="D434" s="1">
        <v>41770</v>
      </c>
      <c r="E434" t="s">
        <v>33</v>
      </c>
      <c r="F434" t="s">
        <v>34</v>
      </c>
      <c r="G434" t="s">
        <v>35</v>
      </c>
      <c r="H434" t="s">
        <v>66</v>
      </c>
      <c r="I434" t="s">
        <v>35</v>
      </c>
      <c r="J434" t="s">
        <v>54</v>
      </c>
      <c r="K434">
        <v>190</v>
      </c>
      <c r="L434">
        <v>5</v>
      </c>
      <c r="M434">
        <v>191</v>
      </c>
      <c r="N434">
        <v>5</v>
      </c>
      <c r="O434" t="s">
        <v>66</v>
      </c>
      <c r="P434" t="s">
        <v>38</v>
      </c>
      <c r="Q434">
        <v>0</v>
      </c>
      <c r="R434">
        <v>5</v>
      </c>
      <c r="S434" t="s">
        <v>1005</v>
      </c>
      <c r="T434" t="s">
        <v>440</v>
      </c>
      <c r="U434" t="s">
        <v>111</v>
      </c>
      <c r="V434" t="s">
        <v>656</v>
      </c>
      <c r="W434" t="s">
        <v>605</v>
      </c>
      <c r="X434" t="s">
        <v>463</v>
      </c>
      <c r="Y434" t="s">
        <v>45</v>
      </c>
      <c r="Z434">
        <v>20</v>
      </c>
      <c r="AA434">
        <v>6</v>
      </c>
      <c r="AB434" t="s">
        <v>46</v>
      </c>
      <c r="AC434" t="s">
        <v>47</v>
      </c>
      <c r="AD434" t="s">
        <v>1223</v>
      </c>
      <c r="AE434" t="s">
        <v>1224</v>
      </c>
    </row>
    <row r="435" spans="1:31" x14ac:dyDescent="0.2">
      <c r="A435" t="s">
        <v>31</v>
      </c>
      <c r="B435">
        <v>2014</v>
      </c>
      <c r="C435">
        <v>36</v>
      </c>
      <c r="D435" s="1">
        <v>41771</v>
      </c>
      <c r="E435" t="s">
        <v>101</v>
      </c>
      <c r="F435" t="s">
        <v>102</v>
      </c>
      <c r="G435" t="s">
        <v>968</v>
      </c>
      <c r="H435" t="s">
        <v>87</v>
      </c>
      <c r="I435" t="s">
        <v>968</v>
      </c>
      <c r="J435" t="s">
        <v>54</v>
      </c>
      <c r="K435">
        <v>157</v>
      </c>
      <c r="L435">
        <v>3</v>
      </c>
      <c r="M435">
        <v>160</v>
      </c>
      <c r="N435">
        <v>3</v>
      </c>
      <c r="O435" t="s">
        <v>87</v>
      </c>
      <c r="P435" t="s">
        <v>38</v>
      </c>
      <c r="Q435">
        <v>0</v>
      </c>
      <c r="R435">
        <v>7</v>
      </c>
      <c r="S435" t="s">
        <v>530</v>
      </c>
      <c r="T435" t="s">
        <v>502</v>
      </c>
      <c r="U435" t="s">
        <v>312</v>
      </c>
      <c r="V435" t="s">
        <v>642</v>
      </c>
      <c r="W435" t="s">
        <v>791</v>
      </c>
      <c r="X435" t="s">
        <v>969</v>
      </c>
      <c r="Y435" t="s">
        <v>45</v>
      </c>
      <c r="Z435">
        <v>20</v>
      </c>
      <c r="AA435">
        <v>6</v>
      </c>
      <c r="AB435" t="s">
        <v>46</v>
      </c>
      <c r="AC435" t="s">
        <v>47</v>
      </c>
      <c r="AD435" t="s">
        <v>1225</v>
      </c>
      <c r="AE435" t="s">
        <v>1226</v>
      </c>
    </row>
    <row r="436" spans="1:31" x14ac:dyDescent="0.2">
      <c r="A436" t="s">
        <v>31</v>
      </c>
      <c r="B436">
        <v>2014</v>
      </c>
      <c r="C436">
        <v>37</v>
      </c>
      <c r="D436" s="1">
        <v>41772</v>
      </c>
      <c r="E436" t="s">
        <v>1099</v>
      </c>
      <c r="F436" t="s">
        <v>1100</v>
      </c>
      <c r="G436" t="s">
        <v>53</v>
      </c>
      <c r="H436" t="s">
        <v>66</v>
      </c>
      <c r="I436" t="s">
        <v>66</v>
      </c>
      <c r="J436" t="s">
        <v>54</v>
      </c>
      <c r="K436">
        <v>149</v>
      </c>
      <c r="L436">
        <v>5</v>
      </c>
      <c r="M436">
        <v>148</v>
      </c>
      <c r="N436">
        <v>8</v>
      </c>
      <c r="O436" t="s">
        <v>53</v>
      </c>
      <c r="P436" t="s">
        <v>38</v>
      </c>
      <c r="Q436">
        <v>0</v>
      </c>
      <c r="R436">
        <v>5</v>
      </c>
      <c r="S436" t="s">
        <v>802</v>
      </c>
      <c r="T436" t="s">
        <v>40</v>
      </c>
      <c r="U436" t="s">
        <v>819</v>
      </c>
      <c r="V436" t="s">
        <v>105</v>
      </c>
      <c r="W436" t="s">
        <v>201</v>
      </c>
      <c r="X436" t="s">
        <v>1189</v>
      </c>
      <c r="Y436" t="s">
        <v>45</v>
      </c>
      <c r="Z436">
        <v>20</v>
      </c>
      <c r="AA436">
        <v>6</v>
      </c>
      <c r="AB436" t="s">
        <v>46</v>
      </c>
      <c r="AC436" t="s">
        <v>47</v>
      </c>
      <c r="AD436" t="s">
        <v>1227</v>
      </c>
      <c r="AE436" t="s">
        <v>1228</v>
      </c>
    </row>
    <row r="437" spans="1:31" x14ac:dyDescent="0.2">
      <c r="A437" t="s">
        <v>31</v>
      </c>
      <c r="B437">
        <v>2014</v>
      </c>
      <c r="C437">
        <v>38</v>
      </c>
      <c r="D437" s="1">
        <v>41772</v>
      </c>
      <c r="E437" t="s">
        <v>33</v>
      </c>
      <c r="F437" t="s">
        <v>34</v>
      </c>
      <c r="G437" t="s">
        <v>35</v>
      </c>
      <c r="H437" t="s">
        <v>65</v>
      </c>
      <c r="I437" t="s">
        <v>65</v>
      </c>
      <c r="J437" t="s">
        <v>37</v>
      </c>
      <c r="K437">
        <v>186</v>
      </c>
      <c r="L437">
        <v>4</v>
      </c>
      <c r="M437">
        <v>170</v>
      </c>
      <c r="N437">
        <v>7</v>
      </c>
      <c r="O437" t="s">
        <v>35</v>
      </c>
      <c r="P437" t="s">
        <v>38</v>
      </c>
      <c r="Q437">
        <v>16</v>
      </c>
      <c r="R437">
        <v>0</v>
      </c>
      <c r="S437" t="s">
        <v>346</v>
      </c>
      <c r="T437" t="s">
        <v>440</v>
      </c>
      <c r="U437" t="s">
        <v>605</v>
      </c>
      <c r="V437" t="s">
        <v>656</v>
      </c>
      <c r="W437" t="s">
        <v>111</v>
      </c>
      <c r="X437" t="s">
        <v>463</v>
      </c>
      <c r="Y437" t="s">
        <v>45</v>
      </c>
      <c r="Z437">
        <v>20</v>
      </c>
      <c r="AA437">
        <v>6</v>
      </c>
      <c r="AB437" t="s">
        <v>46</v>
      </c>
      <c r="AC437" t="s">
        <v>47</v>
      </c>
      <c r="AD437" t="s">
        <v>1229</v>
      </c>
      <c r="AE437" t="s">
        <v>1230</v>
      </c>
    </row>
    <row r="438" spans="1:31" x14ac:dyDescent="0.2">
      <c r="A438" t="s">
        <v>31</v>
      </c>
      <c r="B438">
        <v>2014</v>
      </c>
      <c r="C438">
        <v>39</v>
      </c>
      <c r="D438" s="1">
        <v>41773</v>
      </c>
      <c r="E438" t="s">
        <v>101</v>
      </c>
      <c r="F438" t="s">
        <v>102</v>
      </c>
      <c r="G438" t="s">
        <v>968</v>
      </c>
      <c r="H438" t="s">
        <v>52</v>
      </c>
      <c r="I438" t="s">
        <v>52</v>
      </c>
      <c r="J438" t="s">
        <v>37</v>
      </c>
      <c r="K438">
        <v>205</v>
      </c>
      <c r="L438">
        <v>5</v>
      </c>
      <c r="M438">
        <v>211</v>
      </c>
      <c r="N438">
        <v>4</v>
      </c>
      <c r="O438" t="s">
        <v>52</v>
      </c>
      <c r="P438" t="s">
        <v>38</v>
      </c>
      <c r="Q438">
        <v>0</v>
      </c>
      <c r="R438">
        <v>6</v>
      </c>
      <c r="S438" t="s">
        <v>756</v>
      </c>
      <c r="T438" t="s">
        <v>502</v>
      </c>
      <c r="U438" t="s">
        <v>642</v>
      </c>
      <c r="V438" t="s">
        <v>791</v>
      </c>
      <c r="W438" t="s">
        <v>312</v>
      </c>
      <c r="X438" t="s">
        <v>969</v>
      </c>
      <c r="Y438" t="s">
        <v>45</v>
      </c>
      <c r="Z438">
        <v>20</v>
      </c>
      <c r="AA438">
        <v>6</v>
      </c>
      <c r="AB438" t="s">
        <v>46</v>
      </c>
      <c r="AC438" t="s">
        <v>47</v>
      </c>
      <c r="AD438" t="s">
        <v>1231</v>
      </c>
      <c r="AE438" t="s">
        <v>1232</v>
      </c>
    </row>
    <row r="439" spans="1:31" x14ac:dyDescent="0.2">
      <c r="A439" t="s">
        <v>31</v>
      </c>
      <c r="B439">
        <v>2014</v>
      </c>
      <c r="C439">
        <v>40</v>
      </c>
      <c r="D439" s="1">
        <v>41773</v>
      </c>
      <c r="E439" t="s">
        <v>473</v>
      </c>
      <c r="F439" t="s">
        <v>474</v>
      </c>
      <c r="G439" t="s">
        <v>36</v>
      </c>
      <c r="H439" t="s">
        <v>87</v>
      </c>
      <c r="I439" t="s">
        <v>36</v>
      </c>
      <c r="J439" t="s">
        <v>37</v>
      </c>
      <c r="K439">
        <v>142</v>
      </c>
      <c r="L439">
        <v>4</v>
      </c>
      <c r="M439">
        <v>141</v>
      </c>
      <c r="N439">
        <v>5</v>
      </c>
      <c r="O439" t="s">
        <v>36</v>
      </c>
      <c r="P439" t="s">
        <v>38</v>
      </c>
      <c r="Q439">
        <v>0</v>
      </c>
      <c r="R439">
        <v>6</v>
      </c>
      <c r="S439" t="s">
        <v>490</v>
      </c>
      <c r="T439" t="s">
        <v>783</v>
      </c>
      <c r="U439" t="s">
        <v>146</v>
      </c>
      <c r="V439" t="s">
        <v>1064</v>
      </c>
      <c r="W439" t="s">
        <v>158</v>
      </c>
      <c r="X439" t="s">
        <v>1193</v>
      </c>
      <c r="Y439" t="s">
        <v>45</v>
      </c>
      <c r="Z439">
        <v>20</v>
      </c>
      <c r="AA439">
        <v>6</v>
      </c>
      <c r="AB439" t="s">
        <v>46</v>
      </c>
      <c r="AC439" t="s">
        <v>47</v>
      </c>
      <c r="AD439" t="s">
        <v>1233</v>
      </c>
      <c r="AE439" t="s">
        <v>1234</v>
      </c>
    </row>
    <row r="440" spans="1:31" x14ac:dyDescent="0.2">
      <c r="A440" t="s">
        <v>31</v>
      </c>
      <c r="B440">
        <v>2014</v>
      </c>
      <c r="C440">
        <v>41</v>
      </c>
      <c r="D440" s="1">
        <v>41774</v>
      </c>
      <c r="E440" t="s">
        <v>458</v>
      </c>
      <c r="F440" t="s">
        <v>459</v>
      </c>
      <c r="G440" t="s">
        <v>66</v>
      </c>
      <c r="H440" t="s">
        <v>65</v>
      </c>
      <c r="I440" t="s">
        <v>65</v>
      </c>
      <c r="J440" t="s">
        <v>37</v>
      </c>
      <c r="K440">
        <v>201</v>
      </c>
      <c r="L440">
        <v>6</v>
      </c>
      <c r="M440">
        <v>139</v>
      </c>
      <c r="N440">
        <v>9</v>
      </c>
      <c r="O440" t="s">
        <v>66</v>
      </c>
      <c r="P440" t="s">
        <v>38</v>
      </c>
      <c r="Q440">
        <v>62</v>
      </c>
      <c r="R440">
        <v>0</v>
      </c>
      <c r="S440" t="s">
        <v>794</v>
      </c>
      <c r="T440" t="s">
        <v>440</v>
      </c>
      <c r="U440" t="s">
        <v>111</v>
      </c>
      <c r="V440" t="s">
        <v>656</v>
      </c>
      <c r="W440" t="s">
        <v>605</v>
      </c>
      <c r="X440" t="s">
        <v>463</v>
      </c>
      <c r="Y440" t="s">
        <v>45</v>
      </c>
      <c r="Z440">
        <v>20</v>
      </c>
      <c r="AA440">
        <v>6</v>
      </c>
      <c r="AB440" t="s">
        <v>46</v>
      </c>
      <c r="AC440" t="s">
        <v>47</v>
      </c>
      <c r="AD440" t="s">
        <v>1235</v>
      </c>
      <c r="AE440" t="s">
        <v>1236</v>
      </c>
    </row>
    <row r="441" spans="1:31" x14ac:dyDescent="0.2">
      <c r="A441" t="s">
        <v>31</v>
      </c>
      <c r="B441">
        <v>2014</v>
      </c>
      <c r="C441">
        <v>42</v>
      </c>
      <c r="D441" s="1">
        <v>41777</v>
      </c>
      <c r="E441" t="s">
        <v>1099</v>
      </c>
      <c r="F441" t="s">
        <v>1100</v>
      </c>
      <c r="G441" t="s">
        <v>53</v>
      </c>
      <c r="H441" t="s">
        <v>35</v>
      </c>
      <c r="I441" t="s">
        <v>53</v>
      </c>
      <c r="J441" t="s">
        <v>54</v>
      </c>
      <c r="K441">
        <v>138</v>
      </c>
      <c r="L441">
        <v>4</v>
      </c>
      <c r="M441">
        <v>142</v>
      </c>
      <c r="N441">
        <v>5</v>
      </c>
      <c r="O441" t="s">
        <v>35</v>
      </c>
      <c r="P441" t="s">
        <v>38</v>
      </c>
      <c r="Q441">
        <v>0</v>
      </c>
      <c r="R441">
        <v>5</v>
      </c>
      <c r="S441" t="s">
        <v>300</v>
      </c>
      <c r="T441" t="s">
        <v>40</v>
      </c>
      <c r="U441" t="s">
        <v>819</v>
      </c>
      <c r="V441" t="s">
        <v>105</v>
      </c>
      <c r="W441" t="s">
        <v>201</v>
      </c>
      <c r="X441" t="s">
        <v>455</v>
      </c>
      <c r="Y441" t="s">
        <v>45</v>
      </c>
      <c r="Z441">
        <v>20</v>
      </c>
      <c r="AA441">
        <v>6</v>
      </c>
      <c r="AB441" t="s">
        <v>46</v>
      </c>
      <c r="AC441" t="s">
        <v>47</v>
      </c>
      <c r="AD441" t="s">
        <v>1237</v>
      </c>
      <c r="AE441" t="s">
        <v>1238</v>
      </c>
    </row>
    <row r="442" spans="1:31" x14ac:dyDescent="0.2">
      <c r="A442" t="s">
        <v>31</v>
      </c>
      <c r="B442">
        <v>2014</v>
      </c>
      <c r="C442">
        <v>43</v>
      </c>
      <c r="D442" s="1">
        <v>41777</v>
      </c>
      <c r="E442" t="s">
        <v>101</v>
      </c>
      <c r="F442" t="s">
        <v>102</v>
      </c>
      <c r="G442" t="s">
        <v>968</v>
      </c>
      <c r="H442" t="s">
        <v>36</v>
      </c>
      <c r="I442" t="s">
        <v>968</v>
      </c>
      <c r="J442" t="s">
        <v>54</v>
      </c>
      <c r="K442">
        <v>142</v>
      </c>
      <c r="L442">
        <v>8</v>
      </c>
      <c r="M442">
        <v>146</v>
      </c>
      <c r="N442">
        <v>3</v>
      </c>
      <c r="O442" t="s">
        <v>36</v>
      </c>
      <c r="P442" t="s">
        <v>38</v>
      </c>
      <c r="Q442">
        <v>0</v>
      </c>
      <c r="R442">
        <v>7</v>
      </c>
      <c r="S442" t="s">
        <v>934</v>
      </c>
      <c r="T442" t="s">
        <v>783</v>
      </c>
      <c r="U442" t="s">
        <v>1064</v>
      </c>
      <c r="V442" t="s">
        <v>158</v>
      </c>
      <c r="W442" t="s">
        <v>146</v>
      </c>
      <c r="X442" t="s">
        <v>969</v>
      </c>
      <c r="Y442" t="s">
        <v>45</v>
      </c>
      <c r="Z442">
        <v>20</v>
      </c>
      <c r="AA442">
        <v>6</v>
      </c>
      <c r="AB442" t="s">
        <v>46</v>
      </c>
      <c r="AC442" t="s">
        <v>47</v>
      </c>
      <c r="AD442" t="s">
        <v>1239</v>
      </c>
      <c r="AE442" t="s">
        <v>1240</v>
      </c>
    </row>
    <row r="443" spans="1:31" x14ac:dyDescent="0.2">
      <c r="A443" t="s">
        <v>31</v>
      </c>
      <c r="B443">
        <v>2014</v>
      </c>
      <c r="C443">
        <v>44</v>
      </c>
      <c r="D443" s="1">
        <v>41778</v>
      </c>
      <c r="E443" t="s">
        <v>458</v>
      </c>
      <c r="F443" t="s">
        <v>459</v>
      </c>
      <c r="G443" t="s">
        <v>66</v>
      </c>
      <c r="H443" t="s">
        <v>87</v>
      </c>
      <c r="I443" t="s">
        <v>87</v>
      </c>
      <c r="J443" t="s">
        <v>54</v>
      </c>
      <c r="K443">
        <v>153</v>
      </c>
      <c r="L443">
        <v>8</v>
      </c>
      <c r="M443">
        <v>178</v>
      </c>
      <c r="N443">
        <v>3</v>
      </c>
      <c r="O443" t="s">
        <v>87</v>
      </c>
      <c r="P443" t="s">
        <v>38</v>
      </c>
      <c r="Q443">
        <v>25</v>
      </c>
      <c r="R443">
        <v>0</v>
      </c>
      <c r="S443" t="s">
        <v>55</v>
      </c>
      <c r="T443" t="s">
        <v>440</v>
      </c>
      <c r="U443" t="s">
        <v>111</v>
      </c>
      <c r="V443" t="s">
        <v>656</v>
      </c>
      <c r="W443" t="s">
        <v>605</v>
      </c>
      <c r="X443" t="s">
        <v>463</v>
      </c>
      <c r="Y443" t="s">
        <v>45</v>
      </c>
      <c r="Z443">
        <v>20</v>
      </c>
      <c r="AA443">
        <v>6</v>
      </c>
      <c r="AB443" t="s">
        <v>46</v>
      </c>
      <c r="AC443" t="s">
        <v>47</v>
      </c>
      <c r="AD443" t="s">
        <v>1241</v>
      </c>
      <c r="AE443" t="s">
        <v>1242</v>
      </c>
    </row>
    <row r="444" spans="1:31" x14ac:dyDescent="0.2">
      <c r="A444" t="s">
        <v>31</v>
      </c>
      <c r="B444">
        <v>2014</v>
      </c>
      <c r="C444">
        <v>45</v>
      </c>
      <c r="D444" s="1">
        <v>41778</v>
      </c>
      <c r="E444" t="s">
        <v>63</v>
      </c>
      <c r="F444" t="s">
        <v>64</v>
      </c>
      <c r="G444" t="s">
        <v>65</v>
      </c>
      <c r="H444" t="s">
        <v>52</v>
      </c>
      <c r="I444" t="s">
        <v>52</v>
      </c>
      <c r="J444" t="s">
        <v>37</v>
      </c>
      <c r="K444">
        <v>164</v>
      </c>
      <c r="L444">
        <v>7</v>
      </c>
      <c r="M444">
        <v>165</v>
      </c>
      <c r="N444">
        <v>6</v>
      </c>
      <c r="O444" t="s">
        <v>52</v>
      </c>
      <c r="P444" t="s">
        <v>38</v>
      </c>
      <c r="Q444">
        <v>0</v>
      </c>
      <c r="R444">
        <v>4</v>
      </c>
      <c r="S444" t="s">
        <v>1243</v>
      </c>
      <c r="T444" t="s">
        <v>502</v>
      </c>
      <c r="U444" t="s">
        <v>312</v>
      </c>
      <c r="V444" t="s">
        <v>791</v>
      </c>
      <c r="W444" t="s">
        <v>642</v>
      </c>
      <c r="X444" t="s">
        <v>1197</v>
      </c>
      <c r="Y444" t="s">
        <v>45</v>
      </c>
      <c r="Z444">
        <v>20</v>
      </c>
      <c r="AA444">
        <v>6</v>
      </c>
      <c r="AB444" t="s">
        <v>46</v>
      </c>
      <c r="AC444" t="s">
        <v>47</v>
      </c>
      <c r="AD444" t="s">
        <v>1244</v>
      </c>
      <c r="AE444" t="s">
        <v>1245</v>
      </c>
    </row>
    <row r="445" spans="1:31" x14ac:dyDescent="0.2">
      <c r="A445" t="s">
        <v>31</v>
      </c>
      <c r="B445">
        <v>2014</v>
      </c>
      <c r="C445">
        <v>46</v>
      </c>
      <c r="D445" s="1">
        <v>41779</v>
      </c>
      <c r="E445" t="s">
        <v>101</v>
      </c>
      <c r="F445" t="s">
        <v>102</v>
      </c>
      <c r="G445" t="s">
        <v>968</v>
      </c>
      <c r="H445" t="s">
        <v>35</v>
      </c>
      <c r="I445" t="s">
        <v>35</v>
      </c>
      <c r="J445" t="s">
        <v>54</v>
      </c>
      <c r="K445">
        <v>161</v>
      </c>
      <c r="L445">
        <v>3</v>
      </c>
      <c r="M445">
        <v>160</v>
      </c>
      <c r="N445">
        <v>6</v>
      </c>
      <c r="O445" t="s">
        <v>968</v>
      </c>
      <c r="P445" t="s">
        <v>38</v>
      </c>
      <c r="Q445">
        <v>0</v>
      </c>
      <c r="R445">
        <v>7</v>
      </c>
      <c r="S445" t="s">
        <v>512</v>
      </c>
      <c r="T445" t="s">
        <v>783</v>
      </c>
      <c r="U445" t="s">
        <v>146</v>
      </c>
      <c r="V445" t="s">
        <v>1064</v>
      </c>
      <c r="W445" t="s">
        <v>158</v>
      </c>
      <c r="X445" t="s">
        <v>969</v>
      </c>
      <c r="Y445" t="s">
        <v>45</v>
      </c>
      <c r="Z445">
        <v>20</v>
      </c>
      <c r="AA445">
        <v>6</v>
      </c>
      <c r="AB445" t="s">
        <v>46</v>
      </c>
      <c r="AC445" t="s">
        <v>47</v>
      </c>
      <c r="AD445" t="s">
        <v>1246</v>
      </c>
      <c r="AE445" t="s">
        <v>1247</v>
      </c>
    </row>
    <row r="446" spans="1:31" x14ac:dyDescent="0.2">
      <c r="A446" t="s">
        <v>31</v>
      </c>
      <c r="B446">
        <v>2014</v>
      </c>
      <c r="C446">
        <v>47</v>
      </c>
      <c r="D446" s="1">
        <v>41779</v>
      </c>
      <c r="E446" t="s">
        <v>75</v>
      </c>
      <c r="F446" t="s">
        <v>76</v>
      </c>
      <c r="G446" t="s">
        <v>36</v>
      </c>
      <c r="H446" t="s">
        <v>53</v>
      </c>
      <c r="I446" t="s">
        <v>36</v>
      </c>
      <c r="J446" t="s">
        <v>37</v>
      </c>
      <c r="K446">
        <v>156</v>
      </c>
      <c r="L446">
        <v>2</v>
      </c>
      <c r="M446">
        <v>154</v>
      </c>
      <c r="N446">
        <v>4</v>
      </c>
      <c r="O446" t="s">
        <v>36</v>
      </c>
      <c r="P446" t="s">
        <v>38</v>
      </c>
      <c r="Q446">
        <v>0</v>
      </c>
      <c r="R446">
        <v>8</v>
      </c>
      <c r="S446" t="s">
        <v>490</v>
      </c>
      <c r="T446" t="s">
        <v>40</v>
      </c>
      <c r="U446" t="s">
        <v>201</v>
      </c>
      <c r="V446" t="s">
        <v>105</v>
      </c>
      <c r="W446" t="s">
        <v>819</v>
      </c>
      <c r="X446" t="s">
        <v>989</v>
      </c>
      <c r="Y446" t="s">
        <v>45</v>
      </c>
      <c r="Z446">
        <v>20</v>
      </c>
      <c r="AA446">
        <v>6</v>
      </c>
      <c r="AB446" t="s">
        <v>46</v>
      </c>
      <c r="AC446" t="s">
        <v>47</v>
      </c>
      <c r="AD446" t="s">
        <v>1248</v>
      </c>
      <c r="AE446" t="s">
        <v>1249</v>
      </c>
    </row>
    <row r="447" spans="1:31" x14ac:dyDescent="0.2">
      <c r="A447" t="s">
        <v>31</v>
      </c>
      <c r="B447">
        <v>2014</v>
      </c>
      <c r="C447">
        <v>48</v>
      </c>
      <c r="D447" s="1">
        <v>41780</v>
      </c>
      <c r="E447" t="s">
        <v>50</v>
      </c>
      <c r="F447" t="s">
        <v>51</v>
      </c>
      <c r="G447" t="s">
        <v>52</v>
      </c>
      <c r="H447" t="s">
        <v>87</v>
      </c>
      <c r="I447" t="s">
        <v>87</v>
      </c>
      <c r="J447" t="s">
        <v>37</v>
      </c>
      <c r="K447">
        <v>156</v>
      </c>
      <c r="L447">
        <v>8</v>
      </c>
      <c r="M447">
        <v>159</v>
      </c>
      <c r="N447">
        <v>3</v>
      </c>
      <c r="O447" t="s">
        <v>87</v>
      </c>
      <c r="P447" t="s">
        <v>38</v>
      </c>
      <c r="Q447">
        <v>0</v>
      </c>
      <c r="R447">
        <v>7</v>
      </c>
      <c r="S447" t="s">
        <v>1250</v>
      </c>
      <c r="T447" t="s">
        <v>502</v>
      </c>
      <c r="U447" t="s">
        <v>312</v>
      </c>
      <c r="V447" t="s">
        <v>642</v>
      </c>
      <c r="W447" t="s">
        <v>791</v>
      </c>
      <c r="X447" t="s">
        <v>1210</v>
      </c>
      <c r="Y447" t="s">
        <v>45</v>
      </c>
      <c r="Z447">
        <v>20</v>
      </c>
      <c r="AA447">
        <v>6</v>
      </c>
      <c r="AB447" t="s">
        <v>46</v>
      </c>
      <c r="AC447" t="s">
        <v>47</v>
      </c>
      <c r="AD447" t="s">
        <v>1251</v>
      </c>
      <c r="AE447" t="s">
        <v>1252</v>
      </c>
    </row>
    <row r="448" spans="1:31" x14ac:dyDescent="0.2">
      <c r="A448" t="s">
        <v>31</v>
      </c>
      <c r="B448">
        <v>2014</v>
      </c>
      <c r="C448">
        <v>49</v>
      </c>
      <c r="D448" s="1">
        <v>41781</v>
      </c>
      <c r="E448" t="s">
        <v>75</v>
      </c>
      <c r="F448" t="s">
        <v>76</v>
      </c>
      <c r="G448" t="s">
        <v>36</v>
      </c>
      <c r="H448" t="s">
        <v>35</v>
      </c>
      <c r="I448" t="s">
        <v>35</v>
      </c>
      <c r="J448" t="s">
        <v>37</v>
      </c>
      <c r="K448">
        <v>195</v>
      </c>
      <c r="L448">
        <v>4</v>
      </c>
      <c r="M448">
        <v>165</v>
      </c>
      <c r="N448">
        <v>5</v>
      </c>
      <c r="O448" t="s">
        <v>36</v>
      </c>
      <c r="P448" t="s">
        <v>38</v>
      </c>
      <c r="Q448">
        <v>30</v>
      </c>
      <c r="R448">
        <v>0</v>
      </c>
      <c r="S448" t="s">
        <v>490</v>
      </c>
      <c r="T448" t="s">
        <v>783</v>
      </c>
      <c r="U448" t="s">
        <v>146</v>
      </c>
      <c r="V448" t="s">
        <v>158</v>
      </c>
      <c r="W448" t="s">
        <v>1064</v>
      </c>
      <c r="X448" t="s">
        <v>989</v>
      </c>
      <c r="Y448" t="s">
        <v>45</v>
      </c>
      <c r="Z448">
        <v>20</v>
      </c>
      <c r="AA448">
        <v>6</v>
      </c>
      <c r="AB448" t="s">
        <v>46</v>
      </c>
      <c r="AC448" t="s">
        <v>47</v>
      </c>
      <c r="AD448" t="s">
        <v>1253</v>
      </c>
      <c r="AE448" t="s">
        <v>1254</v>
      </c>
    </row>
    <row r="449" spans="1:31" x14ac:dyDescent="0.2">
      <c r="A449" t="s">
        <v>31</v>
      </c>
      <c r="B449">
        <v>2014</v>
      </c>
      <c r="C449">
        <v>50</v>
      </c>
      <c r="D449" s="1">
        <v>41781</v>
      </c>
      <c r="E449" t="s">
        <v>1099</v>
      </c>
      <c r="F449" t="s">
        <v>1100</v>
      </c>
      <c r="G449" t="s">
        <v>53</v>
      </c>
      <c r="H449" t="s">
        <v>968</v>
      </c>
      <c r="I449" t="s">
        <v>968</v>
      </c>
      <c r="J449" t="s">
        <v>37</v>
      </c>
      <c r="K449">
        <v>185</v>
      </c>
      <c r="L449">
        <v>3</v>
      </c>
      <c r="M449">
        <v>189</v>
      </c>
      <c r="N449">
        <v>4</v>
      </c>
      <c r="O449" t="s">
        <v>968</v>
      </c>
      <c r="P449" t="s">
        <v>38</v>
      </c>
      <c r="Q449">
        <v>0</v>
      </c>
      <c r="R449">
        <v>6</v>
      </c>
      <c r="S449" t="s">
        <v>512</v>
      </c>
      <c r="T449" t="s">
        <v>40</v>
      </c>
      <c r="U449" t="s">
        <v>819</v>
      </c>
      <c r="V449" t="s">
        <v>105</v>
      </c>
      <c r="W449" t="s">
        <v>201</v>
      </c>
      <c r="X449" t="s">
        <v>455</v>
      </c>
      <c r="Y449" t="s">
        <v>45</v>
      </c>
      <c r="Z449">
        <v>20</v>
      </c>
      <c r="AA449">
        <v>6</v>
      </c>
      <c r="AB449" t="s">
        <v>46</v>
      </c>
      <c r="AC449" t="s">
        <v>47</v>
      </c>
      <c r="AD449" t="s">
        <v>1255</v>
      </c>
      <c r="AE449" t="s">
        <v>1256</v>
      </c>
    </row>
    <row r="450" spans="1:31" x14ac:dyDescent="0.2">
      <c r="A450" t="s">
        <v>31</v>
      </c>
      <c r="B450">
        <v>2014</v>
      </c>
      <c r="C450">
        <v>51</v>
      </c>
      <c r="D450" s="1">
        <v>41782</v>
      </c>
      <c r="E450" t="s">
        <v>85</v>
      </c>
      <c r="F450" t="s">
        <v>86</v>
      </c>
      <c r="G450" t="s">
        <v>87</v>
      </c>
      <c r="H450" t="s">
        <v>65</v>
      </c>
      <c r="I450" t="s">
        <v>65</v>
      </c>
      <c r="J450" t="s">
        <v>37</v>
      </c>
      <c r="K450">
        <v>173</v>
      </c>
      <c r="L450">
        <v>10</v>
      </c>
      <c r="M450">
        <v>158</v>
      </c>
      <c r="N450">
        <v>4</v>
      </c>
      <c r="O450" t="s">
        <v>87</v>
      </c>
      <c r="P450" t="s">
        <v>38</v>
      </c>
      <c r="Q450">
        <v>15</v>
      </c>
      <c r="R450">
        <v>0</v>
      </c>
      <c r="S450" t="s">
        <v>55</v>
      </c>
      <c r="T450" t="s">
        <v>440</v>
      </c>
      <c r="U450" t="s">
        <v>111</v>
      </c>
      <c r="V450" t="s">
        <v>656</v>
      </c>
      <c r="W450" t="s">
        <v>605</v>
      </c>
      <c r="X450" t="s">
        <v>1189</v>
      </c>
      <c r="Y450" t="s">
        <v>45</v>
      </c>
      <c r="Z450">
        <v>20</v>
      </c>
      <c r="AA450">
        <v>6</v>
      </c>
      <c r="AB450" t="s">
        <v>46</v>
      </c>
      <c r="AC450" t="s">
        <v>47</v>
      </c>
      <c r="AD450" t="s">
        <v>1257</v>
      </c>
      <c r="AE450" t="s">
        <v>1258</v>
      </c>
    </row>
    <row r="451" spans="1:31" x14ac:dyDescent="0.2">
      <c r="A451" t="s">
        <v>31</v>
      </c>
      <c r="B451">
        <v>2014</v>
      </c>
      <c r="C451">
        <v>52</v>
      </c>
      <c r="D451" s="1">
        <v>41782</v>
      </c>
      <c r="E451" t="s">
        <v>50</v>
      </c>
      <c r="F451" t="s">
        <v>51</v>
      </c>
      <c r="G451" t="s">
        <v>52</v>
      </c>
      <c r="H451" t="s">
        <v>66</v>
      </c>
      <c r="I451" t="s">
        <v>66</v>
      </c>
      <c r="J451" t="s">
        <v>37</v>
      </c>
      <c r="K451">
        <v>179</v>
      </c>
      <c r="L451">
        <v>4</v>
      </c>
      <c r="M451">
        <v>163</v>
      </c>
      <c r="N451">
        <v>8</v>
      </c>
      <c r="O451" t="s">
        <v>52</v>
      </c>
      <c r="P451" t="s">
        <v>38</v>
      </c>
      <c r="Q451">
        <v>16</v>
      </c>
      <c r="R451">
        <v>0</v>
      </c>
      <c r="S451" t="s">
        <v>152</v>
      </c>
      <c r="T451" t="s">
        <v>502</v>
      </c>
      <c r="U451" t="s">
        <v>312</v>
      </c>
      <c r="V451" t="s">
        <v>791</v>
      </c>
      <c r="W451" t="s">
        <v>642</v>
      </c>
      <c r="X451" t="s">
        <v>1210</v>
      </c>
      <c r="Y451" t="s">
        <v>45</v>
      </c>
      <c r="Z451">
        <v>20</v>
      </c>
      <c r="AA451">
        <v>6</v>
      </c>
      <c r="AB451" t="s">
        <v>46</v>
      </c>
      <c r="AC451" t="s">
        <v>47</v>
      </c>
      <c r="AD451" t="s">
        <v>1259</v>
      </c>
      <c r="AE451" t="s">
        <v>1260</v>
      </c>
    </row>
    <row r="452" spans="1:31" x14ac:dyDescent="0.2">
      <c r="A452" t="s">
        <v>31</v>
      </c>
      <c r="B452">
        <v>2014</v>
      </c>
      <c r="C452">
        <v>53</v>
      </c>
      <c r="D452" s="1">
        <v>41783</v>
      </c>
      <c r="E452" t="s">
        <v>33</v>
      </c>
      <c r="F452" t="s">
        <v>34</v>
      </c>
      <c r="G452" t="s">
        <v>35</v>
      </c>
      <c r="H452" t="s">
        <v>53</v>
      </c>
      <c r="I452" t="s">
        <v>53</v>
      </c>
      <c r="J452" t="s">
        <v>37</v>
      </c>
      <c r="K452">
        <v>154</v>
      </c>
      <c r="L452">
        <v>6</v>
      </c>
      <c r="M452">
        <v>160</v>
      </c>
      <c r="N452">
        <v>2</v>
      </c>
      <c r="O452" t="s">
        <v>53</v>
      </c>
      <c r="P452" t="s">
        <v>38</v>
      </c>
      <c r="Q452">
        <v>0</v>
      </c>
      <c r="R452">
        <v>8</v>
      </c>
      <c r="S452" t="s">
        <v>136</v>
      </c>
      <c r="T452" t="s">
        <v>783</v>
      </c>
      <c r="U452" t="s">
        <v>146</v>
      </c>
      <c r="V452" t="s">
        <v>1064</v>
      </c>
      <c r="W452" t="s">
        <v>158</v>
      </c>
      <c r="X452" t="s">
        <v>969</v>
      </c>
      <c r="Y452" t="s">
        <v>45</v>
      </c>
      <c r="Z452">
        <v>20</v>
      </c>
      <c r="AA452">
        <v>6</v>
      </c>
      <c r="AB452" t="s">
        <v>46</v>
      </c>
      <c r="AC452" t="s">
        <v>47</v>
      </c>
      <c r="AD452" t="s">
        <v>1261</v>
      </c>
      <c r="AE452" t="s">
        <v>1262</v>
      </c>
    </row>
    <row r="453" spans="1:31" x14ac:dyDescent="0.2">
      <c r="A453" t="s">
        <v>31</v>
      </c>
      <c r="B453">
        <v>2014</v>
      </c>
      <c r="C453">
        <v>54</v>
      </c>
      <c r="D453" s="1">
        <v>41783</v>
      </c>
      <c r="E453" t="s">
        <v>75</v>
      </c>
      <c r="F453" t="s">
        <v>76</v>
      </c>
      <c r="G453" t="s">
        <v>36</v>
      </c>
      <c r="H453" t="s">
        <v>968</v>
      </c>
      <c r="I453" t="s">
        <v>36</v>
      </c>
      <c r="J453" t="s">
        <v>37</v>
      </c>
      <c r="K453">
        <v>161</v>
      </c>
      <c r="L453">
        <v>6</v>
      </c>
      <c r="M453">
        <v>160</v>
      </c>
      <c r="N453">
        <v>7</v>
      </c>
      <c r="O453" t="s">
        <v>36</v>
      </c>
      <c r="P453" t="s">
        <v>38</v>
      </c>
      <c r="Q453">
        <v>0</v>
      </c>
      <c r="R453">
        <v>4</v>
      </c>
      <c r="S453" t="s">
        <v>114</v>
      </c>
      <c r="T453" t="s">
        <v>40</v>
      </c>
      <c r="U453" t="s">
        <v>201</v>
      </c>
      <c r="V453" t="s">
        <v>819</v>
      </c>
      <c r="W453" t="s">
        <v>105</v>
      </c>
      <c r="X453" t="s">
        <v>989</v>
      </c>
      <c r="Y453" t="s">
        <v>45</v>
      </c>
      <c r="Z453">
        <v>20</v>
      </c>
      <c r="AA453">
        <v>6</v>
      </c>
      <c r="AB453" t="s">
        <v>46</v>
      </c>
      <c r="AC453" t="s">
        <v>47</v>
      </c>
      <c r="AD453" t="s">
        <v>1263</v>
      </c>
      <c r="AE453" t="s">
        <v>1264</v>
      </c>
    </row>
    <row r="454" spans="1:31" x14ac:dyDescent="0.2">
      <c r="A454" t="s">
        <v>31</v>
      </c>
      <c r="B454">
        <v>2014</v>
      </c>
      <c r="C454">
        <v>55</v>
      </c>
      <c r="D454" s="1">
        <v>41784</v>
      </c>
      <c r="E454" t="s">
        <v>50</v>
      </c>
      <c r="F454" t="s">
        <v>51</v>
      </c>
      <c r="G454" t="s">
        <v>52</v>
      </c>
      <c r="H454" t="s">
        <v>65</v>
      </c>
      <c r="I454" t="s">
        <v>52</v>
      </c>
      <c r="J454" t="s">
        <v>37</v>
      </c>
      <c r="K454">
        <v>119</v>
      </c>
      <c r="L454">
        <v>3</v>
      </c>
      <c r="M454">
        <v>115</v>
      </c>
      <c r="N454">
        <v>10</v>
      </c>
      <c r="O454" t="s">
        <v>52</v>
      </c>
      <c r="P454" t="s">
        <v>38</v>
      </c>
      <c r="Q454">
        <v>0</v>
      </c>
      <c r="R454">
        <v>7</v>
      </c>
      <c r="S454" t="s">
        <v>976</v>
      </c>
      <c r="T454" t="s">
        <v>502</v>
      </c>
      <c r="U454" t="s">
        <v>312</v>
      </c>
      <c r="V454" t="s">
        <v>642</v>
      </c>
      <c r="W454" t="s">
        <v>791</v>
      </c>
      <c r="X454" t="s">
        <v>1210</v>
      </c>
      <c r="Y454" t="s">
        <v>45</v>
      </c>
      <c r="Z454">
        <v>20</v>
      </c>
      <c r="AA454">
        <v>6</v>
      </c>
      <c r="AB454" t="s">
        <v>46</v>
      </c>
      <c r="AC454" t="s">
        <v>47</v>
      </c>
      <c r="AD454" t="s">
        <v>1265</v>
      </c>
      <c r="AE454" t="s">
        <v>1266</v>
      </c>
    </row>
    <row r="455" spans="1:31" x14ac:dyDescent="0.2">
      <c r="A455" t="s">
        <v>31</v>
      </c>
      <c r="B455">
        <v>2014</v>
      </c>
      <c r="C455">
        <v>56</v>
      </c>
      <c r="D455" s="1">
        <v>41784</v>
      </c>
      <c r="E455" t="s">
        <v>85</v>
      </c>
      <c r="F455" t="s">
        <v>86</v>
      </c>
      <c r="G455" t="s">
        <v>87</v>
      </c>
      <c r="H455" t="s">
        <v>66</v>
      </c>
      <c r="I455" t="s">
        <v>87</v>
      </c>
      <c r="J455" t="s">
        <v>37</v>
      </c>
      <c r="K455">
        <v>195</v>
      </c>
      <c r="L455">
        <v>5</v>
      </c>
      <c r="M455">
        <v>189</v>
      </c>
      <c r="N455">
        <v>4</v>
      </c>
      <c r="O455" t="s">
        <v>87</v>
      </c>
      <c r="P455" t="s">
        <v>38</v>
      </c>
      <c r="Q455">
        <v>0</v>
      </c>
      <c r="R455">
        <v>5</v>
      </c>
      <c r="S455" t="s">
        <v>1192</v>
      </c>
      <c r="T455" t="s">
        <v>440</v>
      </c>
      <c r="U455" t="s">
        <v>605</v>
      </c>
      <c r="V455" t="s">
        <v>656</v>
      </c>
      <c r="W455" t="s">
        <v>111</v>
      </c>
      <c r="X455" t="s">
        <v>1193</v>
      </c>
      <c r="Y455" t="s">
        <v>45</v>
      </c>
      <c r="Z455">
        <v>20</v>
      </c>
      <c r="AA455">
        <v>6</v>
      </c>
      <c r="AB455" t="s">
        <v>46</v>
      </c>
      <c r="AC455" t="s">
        <v>47</v>
      </c>
      <c r="AD455" t="s">
        <v>1267</v>
      </c>
      <c r="AE455" t="s">
        <v>1268</v>
      </c>
    </row>
    <row r="456" spans="1:31" x14ac:dyDescent="0.2">
      <c r="A456" t="s">
        <v>31</v>
      </c>
      <c r="B456">
        <v>2014</v>
      </c>
      <c r="C456" t="s">
        <v>256</v>
      </c>
      <c r="D456" s="1">
        <v>41786</v>
      </c>
      <c r="E456" t="s">
        <v>75</v>
      </c>
      <c r="F456" t="s">
        <v>76</v>
      </c>
      <c r="G456" t="s">
        <v>52</v>
      </c>
      <c r="H456" t="s">
        <v>36</v>
      </c>
      <c r="I456" t="s">
        <v>52</v>
      </c>
      <c r="J456" t="s">
        <v>37</v>
      </c>
      <c r="K456">
        <v>135</v>
      </c>
      <c r="L456">
        <v>8</v>
      </c>
      <c r="M456">
        <v>163</v>
      </c>
      <c r="N456">
        <v>8</v>
      </c>
      <c r="O456" t="s">
        <v>36</v>
      </c>
      <c r="P456" t="s">
        <v>38</v>
      </c>
      <c r="Q456">
        <v>28</v>
      </c>
      <c r="R456">
        <v>0</v>
      </c>
      <c r="S456" t="s">
        <v>934</v>
      </c>
      <c r="T456" t="s">
        <v>502</v>
      </c>
      <c r="U456" t="s">
        <v>1064</v>
      </c>
      <c r="V456" t="s">
        <v>111</v>
      </c>
      <c r="W456" t="s">
        <v>105</v>
      </c>
      <c r="X456" t="s">
        <v>158</v>
      </c>
      <c r="Y456" t="s">
        <v>45</v>
      </c>
      <c r="Z456">
        <v>20</v>
      </c>
      <c r="AA456">
        <v>6</v>
      </c>
      <c r="AB456" t="s">
        <v>46</v>
      </c>
      <c r="AC456" t="s">
        <v>47</v>
      </c>
      <c r="AD456" t="s">
        <v>1269</v>
      </c>
      <c r="AE456" t="s">
        <v>1270</v>
      </c>
    </row>
    <row r="457" spans="1:31" x14ac:dyDescent="0.2">
      <c r="A457" t="s">
        <v>31</v>
      </c>
      <c r="B457">
        <v>2014</v>
      </c>
      <c r="C457" t="s">
        <v>256</v>
      </c>
      <c r="D457" s="1">
        <v>41787</v>
      </c>
      <c r="E457" t="s">
        <v>85</v>
      </c>
      <c r="F457" t="s">
        <v>443</v>
      </c>
      <c r="G457" t="s">
        <v>53</v>
      </c>
      <c r="H457" t="s">
        <v>87</v>
      </c>
      <c r="I457" t="s">
        <v>53</v>
      </c>
      <c r="J457" t="s">
        <v>37</v>
      </c>
      <c r="K457">
        <v>176</v>
      </c>
      <c r="L457">
        <v>3</v>
      </c>
      <c r="M457">
        <v>173</v>
      </c>
      <c r="N457">
        <v>8</v>
      </c>
      <c r="O457" t="s">
        <v>53</v>
      </c>
      <c r="P457" t="s">
        <v>38</v>
      </c>
      <c r="Q457">
        <v>0</v>
      </c>
      <c r="R457">
        <v>7</v>
      </c>
      <c r="S457" t="s">
        <v>248</v>
      </c>
      <c r="T457" t="s">
        <v>440</v>
      </c>
      <c r="U457" t="s">
        <v>642</v>
      </c>
      <c r="V457" t="s">
        <v>819</v>
      </c>
      <c r="W457" t="s">
        <v>656</v>
      </c>
      <c r="X457" t="s">
        <v>201</v>
      </c>
      <c r="Y457" t="s">
        <v>45</v>
      </c>
      <c r="Z457">
        <v>20</v>
      </c>
      <c r="AA457">
        <v>6</v>
      </c>
      <c r="AB457" t="s">
        <v>46</v>
      </c>
      <c r="AC457" t="s">
        <v>47</v>
      </c>
      <c r="AD457" t="s">
        <v>1271</v>
      </c>
      <c r="AE457" t="s">
        <v>1272</v>
      </c>
    </row>
    <row r="458" spans="1:31" x14ac:dyDescent="0.2">
      <c r="A458" t="s">
        <v>31</v>
      </c>
      <c r="B458">
        <v>2014</v>
      </c>
      <c r="C458" t="s">
        <v>256</v>
      </c>
      <c r="D458" s="1">
        <v>41789</v>
      </c>
      <c r="E458" t="s">
        <v>85</v>
      </c>
      <c r="F458" t="s">
        <v>86</v>
      </c>
      <c r="G458" t="s">
        <v>53</v>
      </c>
      <c r="H458" t="s">
        <v>52</v>
      </c>
      <c r="I458" t="s">
        <v>53</v>
      </c>
      <c r="J458" t="s">
        <v>37</v>
      </c>
      <c r="K458">
        <v>202</v>
      </c>
      <c r="L458">
        <v>7</v>
      </c>
      <c r="M458">
        <v>226</v>
      </c>
      <c r="N458">
        <v>6</v>
      </c>
      <c r="O458" t="s">
        <v>52</v>
      </c>
      <c r="P458" t="s">
        <v>38</v>
      </c>
      <c r="Q458">
        <v>24</v>
      </c>
      <c r="R458">
        <v>0</v>
      </c>
      <c r="S458" t="s">
        <v>103</v>
      </c>
      <c r="T458" t="s">
        <v>40</v>
      </c>
      <c r="U458" t="s">
        <v>312</v>
      </c>
      <c r="V458" t="s">
        <v>656</v>
      </c>
      <c r="W458" t="s">
        <v>146</v>
      </c>
      <c r="X458" t="s">
        <v>201</v>
      </c>
      <c r="Y458" t="s">
        <v>45</v>
      </c>
      <c r="Z458">
        <v>20</v>
      </c>
      <c r="AA458">
        <v>6</v>
      </c>
      <c r="AB458" t="s">
        <v>46</v>
      </c>
      <c r="AC458" t="s">
        <v>47</v>
      </c>
      <c r="AD458" t="s">
        <v>1273</v>
      </c>
      <c r="AE458" t="s">
        <v>1274</v>
      </c>
    </row>
    <row r="459" spans="1:31" x14ac:dyDescent="0.2">
      <c r="A459" t="s">
        <v>31</v>
      </c>
      <c r="B459">
        <v>2014</v>
      </c>
      <c r="C459" t="s">
        <v>256</v>
      </c>
      <c r="D459" s="1">
        <v>41791</v>
      </c>
      <c r="E459" t="s">
        <v>33</v>
      </c>
      <c r="F459" t="s">
        <v>34</v>
      </c>
      <c r="G459" t="s">
        <v>36</v>
      </c>
      <c r="H459" t="s">
        <v>52</v>
      </c>
      <c r="I459" t="s">
        <v>36</v>
      </c>
      <c r="J459" t="s">
        <v>37</v>
      </c>
      <c r="K459">
        <v>200</v>
      </c>
      <c r="L459">
        <v>7</v>
      </c>
      <c r="M459">
        <v>199</v>
      </c>
      <c r="N459">
        <v>4</v>
      </c>
      <c r="O459" t="s">
        <v>36</v>
      </c>
      <c r="P459" t="s">
        <v>38</v>
      </c>
      <c r="Q459">
        <v>0</v>
      </c>
      <c r="R459">
        <v>3</v>
      </c>
      <c r="S459" t="s">
        <v>429</v>
      </c>
      <c r="T459" t="s">
        <v>502</v>
      </c>
      <c r="U459" t="s">
        <v>312</v>
      </c>
      <c r="V459" t="s">
        <v>819</v>
      </c>
      <c r="W459" t="s">
        <v>111</v>
      </c>
      <c r="X459" t="s">
        <v>158</v>
      </c>
      <c r="Y459" t="s">
        <v>45</v>
      </c>
      <c r="Z459">
        <v>20</v>
      </c>
      <c r="AA459">
        <v>6</v>
      </c>
      <c r="AB459" t="s">
        <v>46</v>
      </c>
      <c r="AC459" t="s">
        <v>47</v>
      </c>
      <c r="AD459" t="s">
        <v>1275</v>
      </c>
      <c r="AE459" t="s">
        <v>1276</v>
      </c>
    </row>
    <row r="460" spans="1:31" x14ac:dyDescent="0.2">
      <c r="A460" t="s">
        <v>31</v>
      </c>
      <c r="B460">
        <v>2015</v>
      </c>
      <c r="C460">
        <v>1</v>
      </c>
      <c r="D460" s="1">
        <v>42102</v>
      </c>
      <c r="E460" t="s">
        <v>75</v>
      </c>
      <c r="F460" t="s">
        <v>76</v>
      </c>
      <c r="G460" t="s">
        <v>36</v>
      </c>
      <c r="H460" t="s">
        <v>87</v>
      </c>
      <c r="I460" t="s">
        <v>36</v>
      </c>
      <c r="J460" t="s">
        <v>37</v>
      </c>
      <c r="K460">
        <v>170</v>
      </c>
      <c r="L460">
        <v>3</v>
      </c>
      <c r="M460">
        <v>168</v>
      </c>
      <c r="N460">
        <v>3</v>
      </c>
      <c r="O460" t="s">
        <v>36</v>
      </c>
      <c r="P460" t="s">
        <v>38</v>
      </c>
      <c r="Q460">
        <v>0</v>
      </c>
      <c r="R460">
        <v>7</v>
      </c>
      <c r="S460" t="s">
        <v>816</v>
      </c>
      <c r="T460" t="s">
        <v>40</v>
      </c>
      <c r="U460" t="s">
        <v>111</v>
      </c>
      <c r="V460" t="s">
        <v>105</v>
      </c>
      <c r="W460" t="s">
        <v>791</v>
      </c>
      <c r="X460" t="s">
        <v>939</v>
      </c>
      <c r="Y460" t="s">
        <v>45</v>
      </c>
      <c r="Z460">
        <v>20</v>
      </c>
      <c r="AA460">
        <v>6</v>
      </c>
      <c r="AB460" t="s">
        <v>46</v>
      </c>
      <c r="AC460" t="s">
        <v>47</v>
      </c>
      <c r="AD460" t="s">
        <v>1277</v>
      </c>
      <c r="AE460" t="s">
        <v>1278</v>
      </c>
    </row>
    <row r="461" spans="1:31" x14ac:dyDescent="0.2">
      <c r="A461" t="s">
        <v>31</v>
      </c>
      <c r="B461">
        <v>2015</v>
      </c>
      <c r="C461">
        <v>2</v>
      </c>
      <c r="D461" s="1">
        <v>42103</v>
      </c>
      <c r="E461" t="s">
        <v>108</v>
      </c>
      <c r="F461" t="s">
        <v>109</v>
      </c>
      <c r="G461" t="s">
        <v>53</v>
      </c>
      <c r="H461" t="s">
        <v>65</v>
      </c>
      <c r="I461" t="s">
        <v>65</v>
      </c>
      <c r="J461" t="s">
        <v>37</v>
      </c>
      <c r="K461">
        <v>150</v>
      </c>
      <c r="L461">
        <v>7</v>
      </c>
      <c r="M461">
        <v>149</v>
      </c>
      <c r="N461">
        <v>9</v>
      </c>
      <c r="O461" t="s">
        <v>53</v>
      </c>
      <c r="P461" t="s">
        <v>38</v>
      </c>
      <c r="Q461">
        <v>1</v>
      </c>
      <c r="R461">
        <v>0</v>
      </c>
      <c r="S461" t="s">
        <v>177</v>
      </c>
      <c r="T461" t="s">
        <v>1279</v>
      </c>
      <c r="U461" t="s">
        <v>1139</v>
      </c>
      <c r="V461" t="s">
        <v>642</v>
      </c>
      <c r="W461" t="s">
        <v>201</v>
      </c>
      <c r="X461" t="s">
        <v>631</v>
      </c>
      <c r="Y461" t="s">
        <v>45</v>
      </c>
      <c r="Z461">
        <v>20</v>
      </c>
      <c r="AA461">
        <v>6</v>
      </c>
      <c r="AB461" t="s">
        <v>46</v>
      </c>
      <c r="AC461" t="s">
        <v>47</v>
      </c>
      <c r="AD461" t="s">
        <v>1280</v>
      </c>
      <c r="AE461" t="s">
        <v>1281</v>
      </c>
    </row>
    <row r="462" spans="1:31" x14ac:dyDescent="0.2">
      <c r="A462" t="s">
        <v>31</v>
      </c>
      <c r="B462">
        <v>2015</v>
      </c>
      <c r="C462">
        <v>3</v>
      </c>
      <c r="D462" s="1">
        <v>42104</v>
      </c>
      <c r="E462" t="s">
        <v>807</v>
      </c>
      <c r="F462" t="s">
        <v>1015</v>
      </c>
      <c r="G462" t="s">
        <v>52</v>
      </c>
      <c r="H462" t="s">
        <v>66</v>
      </c>
      <c r="I462" t="s">
        <v>52</v>
      </c>
      <c r="J462" t="s">
        <v>37</v>
      </c>
      <c r="K462">
        <v>136</v>
      </c>
      <c r="L462">
        <v>8</v>
      </c>
      <c r="M462">
        <v>162</v>
      </c>
      <c r="N462">
        <v>7</v>
      </c>
      <c r="O462" t="s">
        <v>66</v>
      </c>
      <c r="P462" t="s">
        <v>38</v>
      </c>
      <c r="Q462">
        <v>26</v>
      </c>
      <c r="R462">
        <v>0</v>
      </c>
      <c r="S462" t="s">
        <v>1005</v>
      </c>
      <c r="T462" t="s">
        <v>681</v>
      </c>
      <c r="U462" t="s">
        <v>1282</v>
      </c>
      <c r="V462" t="s">
        <v>1283</v>
      </c>
      <c r="W462" t="s">
        <v>605</v>
      </c>
      <c r="X462" t="s">
        <v>158</v>
      </c>
      <c r="Y462" t="s">
        <v>45</v>
      </c>
      <c r="Z462">
        <v>20</v>
      </c>
      <c r="AA462">
        <v>6</v>
      </c>
      <c r="AB462" t="s">
        <v>46</v>
      </c>
      <c r="AC462" t="s">
        <v>47</v>
      </c>
      <c r="AD462" t="s">
        <v>1284</v>
      </c>
      <c r="AE462" t="s">
        <v>1285</v>
      </c>
    </row>
    <row r="463" spans="1:31" x14ac:dyDescent="0.2">
      <c r="A463" t="s">
        <v>31</v>
      </c>
      <c r="B463">
        <v>2015</v>
      </c>
      <c r="C463">
        <v>4</v>
      </c>
      <c r="D463" s="1">
        <v>42105</v>
      </c>
      <c r="E463" t="s">
        <v>108</v>
      </c>
      <c r="F463" t="s">
        <v>109</v>
      </c>
      <c r="G463" t="s">
        <v>53</v>
      </c>
      <c r="H463" t="s">
        <v>968</v>
      </c>
      <c r="I463" t="s">
        <v>53</v>
      </c>
      <c r="J463" t="s">
        <v>54</v>
      </c>
      <c r="K463">
        <v>209</v>
      </c>
      <c r="L463">
        <v>4</v>
      </c>
      <c r="M463">
        <v>164</v>
      </c>
      <c r="N463">
        <v>6</v>
      </c>
      <c r="O463" t="s">
        <v>53</v>
      </c>
      <c r="P463" t="s">
        <v>38</v>
      </c>
      <c r="Q463">
        <v>45</v>
      </c>
      <c r="R463">
        <v>0</v>
      </c>
      <c r="S463" t="s">
        <v>39</v>
      </c>
      <c r="T463" t="s">
        <v>1279</v>
      </c>
      <c r="U463" t="s">
        <v>1139</v>
      </c>
      <c r="V463" t="s">
        <v>642</v>
      </c>
      <c r="W463" t="s">
        <v>201</v>
      </c>
      <c r="X463" t="s">
        <v>631</v>
      </c>
      <c r="Y463" t="s">
        <v>45</v>
      </c>
      <c r="Z463">
        <v>20</v>
      </c>
      <c r="AA463">
        <v>6</v>
      </c>
      <c r="AB463" t="s">
        <v>46</v>
      </c>
      <c r="AC463" t="s">
        <v>47</v>
      </c>
      <c r="AD463" t="s">
        <v>1286</v>
      </c>
      <c r="AE463" t="s">
        <v>1287</v>
      </c>
    </row>
    <row r="464" spans="1:31" x14ac:dyDescent="0.2">
      <c r="A464" t="s">
        <v>31</v>
      </c>
      <c r="B464">
        <v>2015</v>
      </c>
      <c r="C464">
        <v>5</v>
      </c>
      <c r="D464" s="1">
        <v>42105</v>
      </c>
      <c r="E464" t="s">
        <v>75</v>
      </c>
      <c r="F464" t="s">
        <v>76</v>
      </c>
      <c r="G464" t="s">
        <v>36</v>
      </c>
      <c r="H464" t="s">
        <v>35</v>
      </c>
      <c r="I464" t="s">
        <v>35</v>
      </c>
      <c r="J464" t="s">
        <v>37</v>
      </c>
      <c r="K464">
        <v>177</v>
      </c>
      <c r="L464">
        <v>6</v>
      </c>
      <c r="M464">
        <v>179</v>
      </c>
      <c r="N464">
        <v>7</v>
      </c>
      <c r="O464" t="s">
        <v>35</v>
      </c>
      <c r="P464" t="s">
        <v>38</v>
      </c>
      <c r="Q464">
        <v>0</v>
      </c>
      <c r="R464">
        <v>3</v>
      </c>
      <c r="S464" t="s">
        <v>292</v>
      </c>
      <c r="T464" t="s">
        <v>40</v>
      </c>
      <c r="U464" t="s">
        <v>111</v>
      </c>
      <c r="V464" t="s">
        <v>105</v>
      </c>
      <c r="W464" t="s">
        <v>791</v>
      </c>
      <c r="X464" t="s">
        <v>939</v>
      </c>
      <c r="Y464" t="s">
        <v>45</v>
      </c>
      <c r="Z464">
        <v>20</v>
      </c>
      <c r="AA464">
        <v>6</v>
      </c>
      <c r="AB464" t="s">
        <v>46</v>
      </c>
      <c r="AC464" t="s">
        <v>47</v>
      </c>
      <c r="AD464" t="s">
        <v>1288</v>
      </c>
      <c r="AE464" t="s">
        <v>1289</v>
      </c>
    </row>
    <row r="465" spans="1:31" x14ac:dyDescent="0.2">
      <c r="A465" t="s">
        <v>31</v>
      </c>
      <c r="B465">
        <v>2015</v>
      </c>
      <c r="C465">
        <v>6</v>
      </c>
      <c r="D465" s="1">
        <v>42106</v>
      </c>
      <c r="E465" t="s">
        <v>63</v>
      </c>
      <c r="F465" t="s">
        <v>64</v>
      </c>
      <c r="G465" t="s">
        <v>65</v>
      </c>
      <c r="H465" t="s">
        <v>66</v>
      </c>
      <c r="I465" t="s">
        <v>66</v>
      </c>
      <c r="J465" t="s">
        <v>37</v>
      </c>
      <c r="K465">
        <v>184</v>
      </c>
      <c r="L465">
        <v>3</v>
      </c>
      <c r="M465">
        <v>186</v>
      </c>
      <c r="N465">
        <v>7</v>
      </c>
      <c r="O465" t="s">
        <v>66</v>
      </c>
      <c r="P465" t="s">
        <v>38</v>
      </c>
      <c r="Q465">
        <v>0</v>
      </c>
      <c r="R465">
        <v>3</v>
      </c>
      <c r="S465" t="s">
        <v>1290</v>
      </c>
      <c r="T465" t="s">
        <v>681</v>
      </c>
      <c r="U465" t="s">
        <v>1282</v>
      </c>
      <c r="V465" t="s">
        <v>1283</v>
      </c>
      <c r="W465" t="s">
        <v>158</v>
      </c>
      <c r="X465" t="s">
        <v>989</v>
      </c>
      <c r="Y465" t="s">
        <v>45</v>
      </c>
      <c r="Z465">
        <v>20</v>
      </c>
      <c r="AA465">
        <v>6</v>
      </c>
      <c r="AB465" t="s">
        <v>46</v>
      </c>
      <c r="AC465" t="s">
        <v>47</v>
      </c>
      <c r="AD465" t="s">
        <v>1291</v>
      </c>
      <c r="AE465" t="s">
        <v>1285</v>
      </c>
    </row>
    <row r="466" spans="1:31" x14ac:dyDescent="0.2">
      <c r="A466" t="s">
        <v>31</v>
      </c>
      <c r="B466">
        <v>2015</v>
      </c>
      <c r="C466">
        <v>7</v>
      </c>
      <c r="D466" s="1">
        <v>42106</v>
      </c>
      <c r="E466" t="s">
        <v>85</v>
      </c>
      <c r="F466" t="s">
        <v>86</v>
      </c>
      <c r="G466" t="s">
        <v>87</v>
      </c>
      <c r="H466" t="s">
        <v>52</v>
      </c>
      <c r="I466" t="s">
        <v>87</v>
      </c>
      <c r="J466" t="s">
        <v>37</v>
      </c>
      <c r="K466">
        <v>159</v>
      </c>
      <c r="L466">
        <v>7</v>
      </c>
      <c r="M466">
        <v>177</v>
      </c>
      <c r="N466">
        <v>5</v>
      </c>
      <c r="O466" t="s">
        <v>52</v>
      </c>
      <c r="P466" t="s">
        <v>38</v>
      </c>
      <c r="Q466">
        <v>18</v>
      </c>
      <c r="R466">
        <v>0</v>
      </c>
      <c r="S466" t="s">
        <v>1292</v>
      </c>
      <c r="T466" t="s">
        <v>1293</v>
      </c>
      <c r="U466" t="s">
        <v>146</v>
      </c>
      <c r="V466" t="s">
        <v>174</v>
      </c>
      <c r="W466" t="s">
        <v>605</v>
      </c>
      <c r="X466" t="s">
        <v>969</v>
      </c>
      <c r="Y466" t="s">
        <v>45</v>
      </c>
      <c r="Z466">
        <v>20</v>
      </c>
      <c r="AA466">
        <v>6</v>
      </c>
      <c r="AB466" t="s">
        <v>46</v>
      </c>
      <c r="AC466" t="s">
        <v>47</v>
      </c>
      <c r="AD466" t="s">
        <v>1294</v>
      </c>
      <c r="AE466" t="s">
        <v>1295</v>
      </c>
    </row>
    <row r="467" spans="1:31" x14ac:dyDescent="0.2">
      <c r="A467" t="s">
        <v>31</v>
      </c>
      <c r="B467">
        <v>2015</v>
      </c>
      <c r="C467">
        <v>8</v>
      </c>
      <c r="D467" s="1">
        <v>42107</v>
      </c>
      <c r="E467" t="s">
        <v>33</v>
      </c>
      <c r="F467" t="s">
        <v>34</v>
      </c>
      <c r="G467" t="s">
        <v>35</v>
      </c>
      <c r="H467" t="s">
        <v>968</v>
      </c>
      <c r="I467" t="s">
        <v>968</v>
      </c>
      <c r="J467" t="s">
        <v>37</v>
      </c>
      <c r="K467">
        <v>166</v>
      </c>
      <c r="L467">
        <v>10</v>
      </c>
      <c r="M467">
        <v>172</v>
      </c>
      <c r="N467">
        <v>2</v>
      </c>
      <c r="O467" t="s">
        <v>968</v>
      </c>
      <c r="P467" t="s">
        <v>38</v>
      </c>
      <c r="Q467">
        <v>0</v>
      </c>
      <c r="R467">
        <v>8</v>
      </c>
      <c r="S467" t="s">
        <v>512</v>
      </c>
      <c r="T467" t="s">
        <v>1279</v>
      </c>
      <c r="U467" t="s">
        <v>201</v>
      </c>
      <c r="V467" t="s">
        <v>1139</v>
      </c>
      <c r="W467" t="s">
        <v>642</v>
      </c>
      <c r="X467" t="s">
        <v>631</v>
      </c>
      <c r="Y467" t="s">
        <v>45</v>
      </c>
      <c r="Z467">
        <v>20</v>
      </c>
      <c r="AA467">
        <v>6</v>
      </c>
      <c r="AB467" t="s">
        <v>46</v>
      </c>
      <c r="AC467" t="s">
        <v>47</v>
      </c>
      <c r="AD467" t="s">
        <v>1296</v>
      </c>
      <c r="AE467" t="s">
        <v>1297</v>
      </c>
    </row>
    <row r="468" spans="1:31" x14ac:dyDescent="0.2">
      <c r="A468" t="s">
        <v>31</v>
      </c>
      <c r="B468">
        <v>2015</v>
      </c>
      <c r="C468">
        <v>9</v>
      </c>
      <c r="D468" s="1">
        <v>42108</v>
      </c>
      <c r="E468" t="s">
        <v>458</v>
      </c>
      <c r="F468" t="s">
        <v>459</v>
      </c>
      <c r="G468" t="s">
        <v>66</v>
      </c>
      <c r="H468" t="s">
        <v>87</v>
      </c>
      <c r="I468" t="s">
        <v>87</v>
      </c>
      <c r="J468" t="s">
        <v>54</v>
      </c>
      <c r="K468">
        <v>165</v>
      </c>
      <c r="L468">
        <v>3</v>
      </c>
      <c r="M468">
        <v>164</v>
      </c>
      <c r="N468">
        <v>6</v>
      </c>
      <c r="O468" t="s">
        <v>66</v>
      </c>
      <c r="P468" t="s">
        <v>38</v>
      </c>
      <c r="Q468">
        <v>0</v>
      </c>
      <c r="R468">
        <v>7</v>
      </c>
      <c r="S468" t="s">
        <v>789</v>
      </c>
      <c r="T468" t="s">
        <v>1293</v>
      </c>
      <c r="U468" t="s">
        <v>146</v>
      </c>
      <c r="V468" t="s">
        <v>1282</v>
      </c>
      <c r="W468" t="s">
        <v>174</v>
      </c>
      <c r="X468" t="s">
        <v>969</v>
      </c>
      <c r="Y468" t="s">
        <v>45</v>
      </c>
      <c r="Z468">
        <v>20</v>
      </c>
      <c r="AA468">
        <v>6</v>
      </c>
      <c r="AB468" t="s">
        <v>46</v>
      </c>
      <c r="AC468" t="s">
        <v>47</v>
      </c>
      <c r="AD468" t="s">
        <v>1298</v>
      </c>
      <c r="AE468" t="s">
        <v>1299</v>
      </c>
    </row>
    <row r="469" spans="1:31" x14ac:dyDescent="0.2">
      <c r="A469" t="s">
        <v>31</v>
      </c>
      <c r="B469">
        <v>2015</v>
      </c>
      <c r="C469">
        <v>10</v>
      </c>
      <c r="D469" s="1">
        <v>42109</v>
      </c>
      <c r="E469" t="s">
        <v>807</v>
      </c>
      <c r="F469" t="s">
        <v>1015</v>
      </c>
      <c r="G469" t="s">
        <v>52</v>
      </c>
      <c r="H469" t="s">
        <v>65</v>
      </c>
      <c r="I469" t="s">
        <v>52</v>
      </c>
      <c r="J469" t="s">
        <v>54</v>
      </c>
      <c r="K469">
        <v>165</v>
      </c>
      <c r="L469">
        <v>7</v>
      </c>
      <c r="M469">
        <v>169</v>
      </c>
      <c r="N469">
        <v>5</v>
      </c>
      <c r="O469" t="s">
        <v>65</v>
      </c>
      <c r="P469" t="s">
        <v>38</v>
      </c>
      <c r="Q469">
        <v>0</v>
      </c>
      <c r="R469">
        <v>5</v>
      </c>
      <c r="S469" t="s">
        <v>1300</v>
      </c>
      <c r="T469" t="s">
        <v>681</v>
      </c>
      <c r="U469" t="s">
        <v>1283</v>
      </c>
      <c r="V469" t="s">
        <v>605</v>
      </c>
      <c r="W469" t="s">
        <v>158</v>
      </c>
      <c r="X469" t="s">
        <v>989</v>
      </c>
      <c r="Y469" t="s">
        <v>45</v>
      </c>
      <c r="Z469">
        <v>20</v>
      </c>
      <c r="AA469">
        <v>6</v>
      </c>
      <c r="AB469" t="s">
        <v>46</v>
      </c>
      <c r="AC469" t="s">
        <v>47</v>
      </c>
      <c r="AD469" t="s">
        <v>1301</v>
      </c>
      <c r="AE469" t="s">
        <v>1302</v>
      </c>
    </row>
    <row r="470" spans="1:31" x14ac:dyDescent="0.2">
      <c r="A470" t="s">
        <v>31</v>
      </c>
      <c r="B470">
        <v>2015</v>
      </c>
      <c r="C470">
        <v>11</v>
      </c>
      <c r="D470" s="1">
        <v>42110</v>
      </c>
      <c r="E470" t="s">
        <v>800</v>
      </c>
      <c r="F470" t="s">
        <v>801</v>
      </c>
      <c r="G470" t="s">
        <v>968</v>
      </c>
      <c r="H470" t="s">
        <v>66</v>
      </c>
      <c r="I470" t="s">
        <v>66</v>
      </c>
      <c r="J470" t="s">
        <v>37</v>
      </c>
      <c r="K470">
        <v>127</v>
      </c>
      <c r="L470">
        <v>5</v>
      </c>
      <c r="M470">
        <v>131</v>
      </c>
      <c r="N470">
        <v>4</v>
      </c>
      <c r="O470" t="s">
        <v>66</v>
      </c>
      <c r="P470" t="s">
        <v>38</v>
      </c>
      <c r="Q470">
        <v>0</v>
      </c>
      <c r="R470">
        <v>6</v>
      </c>
      <c r="S470" t="s">
        <v>794</v>
      </c>
      <c r="T470" t="s">
        <v>1279</v>
      </c>
      <c r="U470" t="s">
        <v>791</v>
      </c>
      <c r="V470" t="s">
        <v>111</v>
      </c>
      <c r="W470" t="s">
        <v>105</v>
      </c>
      <c r="X470" t="s">
        <v>939</v>
      </c>
      <c r="Y470" t="s">
        <v>45</v>
      </c>
      <c r="Z470">
        <v>20</v>
      </c>
      <c r="AA470">
        <v>6</v>
      </c>
      <c r="AB470" t="s">
        <v>46</v>
      </c>
      <c r="AC470" t="s">
        <v>47</v>
      </c>
      <c r="AD470" t="s">
        <v>1303</v>
      </c>
      <c r="AE470" t="s">
        <v>1304</v>
      </c>
    </row>
    <row r="471" spans="1:31" x14ac:dyDescent="0.2">
      <c r="A471" t="s">
        <v>31</v>
      </c>
      <c r="B471">
        <v>2015</v>
      </c>
      <c r="C471">
        <v>12</v>
      </c>
      <c r="D471" s="1">
        <v>42111</v>
      </c>
      <c r="E471" t="s">
        <v>85</v>
      </c>
      <c r="F471" t="s">
        <v>86</v>
      </c>
      <c r="G471" t="s">
        <v>87</v>
      </c>
      <c r="H471" t="s">
        <v>53</v>
      </c>
      <c r="I471" t="s">
        <v>87</v>
      </c>
      <c r="J471" t="s">
        <v>54</v>
      </c>
      <c r="K471">
        <v>183</v>
      </c>
      <c r="L471">
        <v>7</v>
      </c>
      <c r="M471">
        <v>189</v>
      </c>
      <c r="N471">
        <v>4</v>
      </c>
      <c r="O471" t="s">
        <v>53</v>
      </c>
      <c r="P471" t="s">
        <v>38</v>
      </c>
      <c r="Q471">
        <v>0</v>
      </c>
      <c r="R471">
        <v>6</v>
      </c>
      <c r="S471" t="s">
        <v>177</v>
      </c>
      <c r="T471" t="s">
        <v>1293</v>
      </c>
      <c r="U471" t="s">
        <v>146</v>
      </c>
      <c r="V471" t="s">
        <v>297</v>
      </c>
      <c r="W471" t="s">
        <v>605</v>
      </c>
      <c r="X471" t="s">
        <v>174</v>
      </c>
      <c r="Y471" t="s">
        <v>45</v>
      </c>
      <c r="Z471">
        <v>20</v>
      </c>
      <c r="AA471">
        <v>6</v>
      </c>
      <c r="AB471" t="s">
        <v>46</v>
      </c>
      <c r="AC471" t="s">
        <v>47</v>
      </c>
      <c r="AD471" t="s">
        <v>1305</v>
      </c>
      <c r="AE471" t="s">
        <v>1306</v>
      </c>
    </row>
    <row r="472" spans="1:31" x14ac:dyDescent="0.2">
      <c r="A472" t="s">
        <v>31</v>
      </c>
      <c r="B472">
        <v>2015</v>
      </c>
      <c r="C472">
        <v>13</v>
      </c>
      <c r="D472" s="1">
        <v>42112</v>
      </c>
      <c r="E472" t="s">
        <v>800</v>
      </c>
      <c r="F472" t="s">
        <v>801</v>
      </c>
      <c r="G472" t="s">
        <v>968</v>
      </c>
      <c r="H472" t="s">
        <v>65</v>
      </c>
      <c r="I472" t="s">
        <v>65</v>
      </c>
      <c r="J472" t="s">
        <v>54</v>
      </c>
      <c r="K472">
        <v>163</v>
      </c>
      <c r="L472">
        <v>8</v>
      </c>
      <c r="M472">
        <v>167</v>
      </c>
      <c r="N472">
        <v>4</v>
      </c>
      <c r="O472" t="s">
        <v>65</v>
      </c>
      <c r="P472" t="s">
        <v>38</v>
      </c>
      <c r="Q472">
        <v>4</v>
      </c>
      <c r="R472">
        <v>0</v>
      </c>
      <c r="S472" t="s">
        <v>343</v>
      </c>
      <c r="T472" t="s">
        <v>1279</v>
      </c>
      <c r="U472" t="s">
        <v>791</v>
      </c>
      <c r="V472" t="s">
        <v>111</v>
      </c>
      <c r="W472" t="s">
        <v>105</v>
      </c>
      <c r="X472" t="s">
        <v>939</v>
      </c>
      <c r="Y472" t="s">
        <v>45</v>
      </c>
      <c r="Z472">
        <v>20</v>
      </c>
      <c r="AA472">
        <v>6</v>
      </c>
      <c r="AB472" t="s">
        <v>46</v>
      </c>
      <c r="AC472" t="s">
        <v>47</v>
      </c>
      <c r="AD472" t="s">
        <v>1307</v>
      </c>
      <c r="AE472" t="s">
        <v>1302</v>
      </c>
    </row>
    <row r="473" spans="1:31" x14ac:dyDescent="0.2">
      <c r="A473" t="s">
        <v>31</v>
      </c>
      <c r="B473">
        <v>2015</v>
      </c>
      <c r="C473">
        <v>14</v>
      </c>
      <c r="D473" s="1">
        <v>42112</v>
      </c>
      <c r="E473" t="s">
        <v>807</v>
      </c>
      <c r="F473" t="s">
        <v>1015</v>
      </c>
      <c r="G473" t="s">
        <v>52</v>
      </c>
      <c r="H473" t="s">
        <v>36</v>
      </c>
      <c r="I473" t="s">
        <v>36</v>
      </c>
      <c r="J473" t="s">
        <v>37</v>
      </c>
      <c r="K473">
        <v>155</v>
      </c>
      <c r="L473">
        <v>9</v>
      </c>
      <c r="M473">
        <v>159</v>
      </c>
      <c r="N473">
        <v>6</v>
      </c>
      <c r="O473" t="s">
        <v>36</v>
      </c>
      <c r="P473" t="s">
        <v>38</v>
      </c>
      <c r="Q473">
        <v>0</v>
      </c>
      <c r="R473">
        <v>4</v>
      </c>
      <c r="S473" t="s">
        <v>1308</v>
      </c>
      <c r="T473" t="s">
        <v>681</v>
      </c>
      <c r="U473" t="s">
        <v>1282</v>
      </c>
      <c r="V473" t="s">
        <v>158</v>
      </c>
      <c r="W473" t="s">
        <v>1283</v>
      </c>
      <c r="X473" t="s">
        <v>989</v>
      </c>
      <c r="Y473" t="s">
        <v>45</v>
      </c>
      <c r="Z473">
        <v>20</v>
      </c>
      <c r="AA473">
        <v>6</v>
      </c>
      <c r="AB473" t="s">
        <v>46</v>
      </c>
      <c r="AC473" t="s">
        <v>47</v>
      </c>
      <c r="AD473" t="s">
        <v>1309</v>
      </c>
      <c r="AE473" t="s">
        <v>1310</v>
      </c>
    </row>
    <row r="474" spans="1:31" x14ac:dyDescent="0.2">
      <c r="A474" t="s">
        <v>31</v>
      </c>
      <c r="B474">
        <v>2015</v>
      </c>
      <c r="C474">
        <v>15</v>
      </c>
      <c r="D474" s="1">
        <v>42113</v>
      </c>
      <c r="E474" t="s">
        <v>458</v>
      </c>
      <c r="F474" t="s">
        <v>459</v>
      </c>
      <c r="G474" t="s">
        <v>66</v>
      </c>
      <c r="H474" t="s">
        <v>53</v>
      </c>
      <c r="I474" t="s">
        <v>53</v>
      </c>
      <c r="J474" t="s">
        <v>54</v>
      </c>
      <c r="K474">
        <v>157</v>
      </c>
      <c r="L474">
        <v>2</v>
      </c>
      <c r="M474">
        <v>156</v>
      </c>
      <c r="N474">
        <v>4</v>
      </c>
      <c r="O474" t="s">
        <v>66</v>
      </c>
      <c r="P474" t="s">
        <v>38</v>
      </c>
      <c r="Q474">
        <v>0</v>
      </c>
      <c r="R474">
        <v>8</v>
      </c>
      <c r="S474" t="s">
        <v>794</v>
      </c>
      <c r="T474" t="s">
        <v>1293</v>
      </c>
      <c r="U474" t="s">
        <v>146</v>
      </c>
      <c r="V474" t="s">
        <v>297</v>
      </c>
      <c r="W474" t="s">
        <v>605</v>
      </c>
      <c r="X474" t="s">
        <v>174</v>
      </c>
      <c r="Y474" t="s">
        <v>45</v>
      </c>
      <c r="Z474">
        <v>20</v>
      </c>
      <c r="AA474">
        <v>6</v>
      </c>
      <c r="AB474" t="s">
        <v>46</v>
      </c>
      <c r="AC474" t="s">
        <v>47</v>
      </c>
      <c r="AD474" t="s">
        <v>1311</v>
      </c>
      <c r="AE474" t="s">
        <v>1312</v>
      </c>
    </row>
    <row r="475" spans="1:31" x14ac:dyDescent="0.2">
      <c r="A475" t="s">
        <v>31</v>
      </c>
      <c r="B475">
        <v>2015</v>
      </c>
      <c r="C475">
        <v>16</v>
      </c>
      <c r="D475" s="1">
        <v>42113</v>
      </c>
      <c r="E475" t="s">
        <v>33</v>
      </c>
      <c r="F475" t="s">
        <v>34</v>
      </c>
      <c r="G475" t="s">
        <v>35</v>
      </c>
      <c r="H475" t="s">
        <v>87</v>
      </c>
      <c r="I475" t="s">
        <v>35</v>
      </c>
      <c r="J475" t="s">
        <v>37</v>
      </c>
      <c r="K475">
        <v>191</v>
      </c>
      <c r="L475">
        <v>7</v>
      </c>
      <c r="M475">
        <v>209</v>
      </c>
      <c r="N475">
        <v>7</v>
      </c>
      <c r="O475" t="s">
        <v>87</v>
      </c>
      <c r="P475" t="s">
        <v>38</v>
      </c>
      <c r="Q475">
        <v>18</v>
      </c>
      <c r="R475">
        <v>0</v>
      </c>
      <c r="S475" t="s">
        <v>394</v>
      </c>
      <c r="T475" t="s">
        <v>40</v>
      </c>
      <c r="U475" t="s">
        <v>1139</v>
      </c>
      <c r="V475" t="s">
        <v>642</v>
      </c>
      <c r="W475" t="s">
        <v>201</v>
      </c>
      <c r="X475" t="s">
        <v>631</v>
      </c>
      <c r="Y475" t="s">
        <v>45</v>
      </c>
      <c r="Z475">
        <v>20</v>
      </c>
      <c r="AA475">
        <v>6</v>
      </c>
      <c r="AB475" t="s">
        <v>46</v>
      </c>
      <c r="AC475" t="s">
        <v>47</v>
      </c>
      <c r="AD475" t="s">
        <v>1313</v>
      </c>
      <c r="AE475" t="s">
        <v>1314</v>
      </c>
    </row>
    <row r="476" spans="1:31" x14ac:dyDescent="0.2">
      <c r="A476" t="s">
        <v>31</v>
      </c>
      <c r="B476">
        <v>2015</v>
      </c>
      <c r="C476">
        <v>17</v>
      </c>
      <c r="D476" s="1">
        <v>42114</v>
      </c>
      <c r="E476" t="s">
        <v>63</v>
      </c>
      <c r="F476" t="s">
        <v>64</v>
      </c>
      <c r="G476" t="s">
        <v>65</v>
      </c>
      <c r="H476" t="s">
        <v>36</v>
      </c>
      <c r="I476" t="s">
        <v>36</v>
      </c>
      <c r="J476" t="s">
        <v>37</v>
      </c>
      <c r="K476">
        <v>146</v>
      </c>
      <c r="L476">
        <v>8</v>
      </c>
      <c r="M476">
        <v>147</v>
      </c>
      <c r="N476">
        <v>4</v>
      </c>
      <c r="O476" t="s">
        <v>36</v>
      </c>
      <c r="P476" t="s">
        <v>38</v>
      </c>
      <c r="Q476">
        <v>0</v>
      </c>
      <c r="R476">
        <v>6</v>
      </c>
      <c r="S476" t="s">
        <v>934</v>
      </c>
      <c r="T476" t="s">
        <v>681</v>
      </c>
      <c r="U476" t="s">
        <v>1282</v>
      </c>
      <c r="V476" t="s">
        <v>1283</v>
      </c>
      <c r="W476" t="s">
        <v>158</v>
      </c>
      <c r="X476" t="s">
        <v>989</v>
      </c>
      <c r="Y476" t="s">
        <v>45</v>
      </c>
      <c r="Z476">
        <v>20</v>
      </c>
      <c r="AA476">
        <v>6</v>
      </c>
      <c r="AB476" t="s">
        <v>46</v>
      </c>
      <c r="AC476" t="s">
        <v>47</v>
      </c>
      <c r="AD476" t="s">
        <v>1315</v>
      </c>
      <c r="AE476" t="s">
        <v>1310</v>
      </c>
    </row>
    <row r="477" spans="1:31" x14ac:dyDescent="0.2">
      <c r="A477" t="s">
        <v>31</v>
      </c>
      <c r="B477">
        <v>2015</v>
      </c>
      <c r="C477">
        <v>18</v>
      </c>
      <c r="D477" s="1">
        <v>42115</v>
      </c>
      <c r="E477" t="s">
        <v>458</v>
      </c>
      <c r="F477" t="s">
        <v>459</v>
      </c>
      <c r="G477" t="s">
        <v>66</v>
      </c>
      <c r="H477" t="s">
        <v>52</v>
      </c>
      <c r="I477" t="s">
        <v>52</v>
      </c>
      <c r="J477" t="s">
        <v>37</v>
      </c>
      <c r="K477">
        <v>197</v>
      </c>
      <c r="L477">
        <v>8</v>
      </c>
      <c r="M477">
        <v>206</v>
      </c>
      <c r="N477">
        <v>8</v>
      </c>
      <c r="O477" t="s">
        <v>304</v>
      </c>
      <c r="P477" t="s">
        <v>305</v>
      </c>
      <c r="Q477">
        <v>0</v>
      </c>
      <c r="R477">
        <v>0</v>
      </c>
      <c r="S477" t="s">
        <v>152</v>
      </c>
      <c r="T477" t="s">
        <v>1293</v>
      </c>
      <c r="U477" t="s">
        <v>297</v>
      </c>
      <c r="V477" t="s">
        <v>111</v>
      </c>
      <c r="W477" t="s">
        <v>146</v>
      </c>
      <c r="X477" t="s">
        <v>605</v>
      </c>
      <c r="Y477" t="s">
        <v>45</v>
      </c>
      <c r="Z477">
        <v>20</v>
      </c>
      <c r="AA477">
        <v>6</v>
      </c>
      <c r="AB477" t="s">
        <v>46</v>
      </c>
      <c r="AC477" t="s">
        <v>47</v>
      </c>
      <c r="AD477" t="s">
        <v>1316</v>
      </c>
      <c r="AE477" t="s">
        <v>1317</v>
      </c>
    </row>
    <row r="478" spans="1:31" x14ac:dyDescent="0.2">
      <c r="A478" t="s">
        <v>31</v>
      </c>
      <c r="B478">
        <v>2015</v>
      </c>
      <c r="C478">
        <v>19</v>
      </c>
      <c r="D478" s="1">
        <v>42116</v>
      </c>
      <c r="E478" t="s">
        <v>800</v>
      </c>
      <c r="F478" t="s">
        <v>801</v>
      </c>
      <c r="G478" t="s">
        <v>968</v>
      </c>
      <c r="H478" t="s">
        <v>36</v>
      </c>
      <c r="I478" t="s">
        <v>36</v>
      </c>
      <c r="J478" t="s">
        <v>37</v>
      </c>
      <c r="K478">
        <v>176</v>
      </c>
      <c r="L478">
        <v>4</v>
      </c>
      <c r="M478">
        <v>101</v>
      </c>
      <c r="N478">
        <v>4</v>
      </c>
      <c r="O478" t="s">
        <v>968</v>
      </c>
      <c r="P478" t="s">
        <v>38</v>
      </c>
      <c r="Q478">
        <v>16</v>
      </c>
      <c r="R478">
        <v>0</v>
      </c>
      <c r="S478" t="s">
        <v>512</v>
      </c>
      <c r="T478" t="s">
        <v>1279</v>
      </c>
      <c r="U478" t="s">
        <v>1139</v>
      </c>
      <c r="V478" t="s">
        <v>642</v>
      </c>
      <c r="W478" t="s">
        <v>201</v>
      </c>
      <c r="X478" t="s">
        <v>631</v>
      </c>
      <c r="Y478" t="s">
        <v>45</v>
      </c>
      <c r="Z478">
        <v>20</v>
      </c>
      <c r="AA478">
        <v>6</v>
      </c>
      <c r="AB478" t="s">
        <v>46</v>
      </c>
      <c r="AC478" t="s">
        <v>47</v>
      </c>
      <c r="AD478" t="s">
        <v>1318</v>
      </c>
      <c r="AE478" t="s">
        <v>1319</v>
      </c>
    </row>
    <row r="479" spans="1:31" x14ac:dyDescent="0.2">
      <c r="A479" t="s">
        <v>31</v>
      </c>
      <c r="B479">
        <v>2015</v>
      </c>
      <c r="C479">
        <v>20</v>
      </c>
      <c r="D479" s="1">
        <v>42116</v>
      </c>
      <c r="E479" t="s">
        <v>33</v>
      </c>
      <c r="F479" t="s">
        <v>34</v>
      </c>
      <c r="G479" t="s">
        <v>35</v>
      </c>
      <c r="H479" t="s">
        <v>53</v>
      </c>
      <c r="I479" t="s">
        <v>35</v>
      </c>
      <c r="J479" t="s">
        <v>37</v>
      </c>
      <c r="K479">
        <v>154</v>
      </c>
      <c r="L479">
        <v>8</v>
      </c>
      <c r="M479">
        <v>181</v>
      </c>
      <c r="N479">
        <v>8</v>
      </c>
      <c r="O479" t="s">
        <v>53</v>
      </c>
      <c r="P479" t="s">
        <v>38</v>
      </c>
      <c r="Q479">
        <v>27</v>
      </c>
      <c r="R479">
        <v>0</v>
      </c>
      <c r="S479" t="s">
        <v>248</v>
      </c>
      <c r="T479" t="s">
        <v>40</v>
      </c>
      <c r="U479" t="s">
        <v>329</v>
      </c>
      <c r="V479" t="s">
        <v>105</v>
      </c>
      <c r="W479" t="s">
        <v>791</v>
      </c>
      <c r="X479" t="s">
        <v>939</v>
      </c>
      <c r="Y479" t="s">
        <v>45</v>
      </c>
      <c r="Z479">
        <v>20</v>
      </c>
      <c r="AA479">
        <v>6</v>
      </c>
      <c r="AB479" t="s">
        <v>46</v>
      </c>
      <c r="AC479" t="s">
        <v>47</v>
      </c>
      <c r="AD479" t="s">
        <v>1320</v>
      </c>
      <c r="AE479" t="s">
        <v>1321</v>
      </c>
    </row>
    <row r="480" spans="1:31" x14ac:dyDescent="0.2">
      <c r="A480" t="s">
        <v>31</v>
      </c>
      <c r="B480">
        <v>2015</v>
      </c>
      <c r="C480">
        <v>21</v>
      </c>
      <c r="D480" s="1">
        <v>42117</v>
      </c>
      <c r="E480" t="s">
        <v>63</v>
      </c>
      <c r="F480" t="s">
        <v>64</v>
      </c>
      <c r="G480" t="s">
        <v>65</v>
      </c>
      <c r="H480" t="s">
        <v>87</v>
      </c>
      <c r="I480" t="s">
        <v>87</v>
      </c>
      <c r="J480" t="s">
        <v>37</v>
      </c>
      <c r="K480">
        <v>190</v>
      </c>
      <c r="L480">
        <v>4</v>
      </c>
      <c r="M480">
        <v>153</v>
      </c>
      <c r="N480">
        <v>9</v>
      </c>
      <c r="O480" t="s">
        <v>65</v>
      </c>
      <c r="P480" t="s">
        <v>38</v>
      </c>
      <c r="Q480">
        <v>37</v>
      </c>
      <c r="R480">
        <v>0</v>
      </c>
      <c r="S480" t="s">
        <v>1322</v>
      </c>
      <c r="T480" t="s">
        <v>681</v>
      </c>
      <c r="U480" t="s">
        <v>1282</v>
      </c>
      <c r="V480" t="s">
        <v>158</v>
      </c>
      <c r="W480" t="s">
        <v>1283</v>
      </c>
      <c r="X480" t="s">
        <v>989</v>
      </c>
      <c r="Y480" t="s">
        <v>45</v>
      </c>
      <c r="Z480">
        <v>20</v>
      </c>
      <c r="AA480">
        <v>6</v>
      </c>
      <c r="AB480" t="s">
        <v>46</v>
      </c>
      <c r="AC480" t="s">
        <v>47</v>
      </c>
      <c r="AD480" t="s">
        <v>1323</v>
      </c>
      <c r="AE480" t="s">
        <v>1324</v>
      </c>
    </row>
    <row r="481" spans="1:31" x14ac:dyDescent="0.2">
      <c r="A481" t="s">
        <v>31</v>
      </c>
      <c r="B481">
        <v>2015</v>
      </c>
      <c r="C481">
        <v>22</v>
      </c>
      <c r="D481" s="1">
        <v>42118</v>
      </c>
      <c r="E481" t="s">
        <v>458</v>
      </c>
      <c r="F481" t="s">
        <v>459</v>
      </c>
      <c r="G481" t="s">
        <v>66</v>
      </c>
      <c r="H481" t="s">
        <v>35</v>
      </c>
      <c r="I481" t="s">
        <v>35</v>
      </c>
      <c r="J481" t="s">
        <v>37</v>
      </c>
      <c r="K481">
        <v>130</v>
      </c>
      <c r="L481">
        <v>9</v>
      </c>
      <c r="M481">
        <v>134</v>
      </c>
      <c r="N481">
        <v>1</v>
      </c>
      <c r="O481" t="s">
        <v>35</v>
      </c>
      <c r="P481" t="s">
        <v>38</v>
      </c>
      <c r="Q481">
        <v>0</v>
      </c>
      <c r="R481">
        <v>9</v>
      </c>
      <c r="S481" t="s">
        <v>1325</v>
      </c>
      <c r="T481" t="s">
        <v>1293</v>
      </c>
      <c r="U481" t="s">
        <v>297</v>
      </c>
      <c r="V481" t="s">
        <v>111</v>
      </c>
      <c r="W481" t="s">
        <v>146</v>
      </c>
      <c r="X481" t="s">
        <v>605</v>
      </c>
      <c r="Y481" t="s">
        <v>45</v>
      </c>
      <c r="Z481">
        <v>20</v>
      </c>
      <c r="AA481">
        <v>6</v>
      </c>
      <c r="AB481" t="s">
        <v>46</v>
      </c>
      <c r="AC481" t="s">
        <v>47</v>
      </c>
      <c r="AD481" t="s">
        <v>1326</v>
      </c>
      <c r="AE481" t="s">
        <v>1327</v>
      </c>
    </row>
    <row r="482" spans="1:31" x14ac:dyDescent="0.2">
      <c r="A482" t="s">
        <v>31</v>
      </c>
      <c r="B482">
        <v>2015</v>
      </c>
      <c r="C482">
        <v>23</v>
      </c>
      <c r="D482" s="1">
        <v>42119</v>
      </c>
      <c r="E482" t="s">
        <v>85</v>
      </c>
      <c r="F482" t="s">
        <v>86</v>
      </c>
      <c r="G482" t="s">
        <v>87</v>
      </c>
      <c r="H482" t="s">
        <v>968</v>
      </c>
      <c r="I482" t="s">
        <v>87</v>
      </c>
      <c r="J482" t="s">
        <v>54</v>
      </c>
      <c r="K482">
        <v>157</v>
      </c>
      <c r="L482">
        <v>8</v>
      </c>
      <c r="M482">
        <v>137</v>
      </c>
      <c r="N482">
        <v>8</v>
      </c>
      <c r="O482" t="s">
        <v>87</v>
      </c>
      <c r="P482" t="s">
        <v>38</v>
      </c>
      <c r="Q482">
        <v>20</v>
      </c>
      <c r="R482">
        <v>0</v>
      </c>
      <c r="S482" t="s">
        <v>515</v>
      </c>
      <c r="T482" t="s">
        <v>502</v>
      </c>
      <c r="U482" t="s">
        <v>312</v>
      </c>
      <c r="V482" t="s">
        <v>1283</v>
      </c>
      <c r="W482" t="s">
        <v>1282</v>
      </c>
      <c r="X482" t="s">
        <v>158</v>
      </c>
      <c r="Y482" t="s">
        <v>45</v>
      </c>
      <c r="Z482">
        <v>20</v>
      </c>
      <c r="AA482">
        <v>6</v>
      </c>
      <c r="AB482" t="s">
        <v>46</v>
      </c>
      <c r="AC482" t="s">
        <v>47</v>
      </c>
      <c r="AD482" t="s">
        <v>1328</v>
      </c>
      <c r="AE482" t="s">
        <v>1329</v>
      </c>
    </row>
    <row r="483" spans="1:31" x14ac:dyDescent="0.2">
      <c r="A483" t="s">
        <v>31</v>
      </c>
      <c r="B483">
        <v>2015</v>
      </c>
      <c r="C483">
        <v>24</v>
      </c>
      <c r="D483" s="1">
        <v>42119</v>
      </c>
      <c r="E483" t="s">
        <v>108</v>
      </c>
      <c r="F483" t="s">
        <v>109</v>
      </c>
      <c r="G483" t="s">
        <v>53</v>
      </c>
      <c r="H483" t="s">
        <v>52</v>
      </c>
      <c r="I483" t="s">
        <v>53</v>
      </c>
      <c r="J483" t="s">
        <v>54</v>
      </c>
      <c r="K483">
        <v>192</v>
      </c>
      <c r="L483">
        <v>3</v>
      </c>
      <c r="M483">
        <v>95</v>
      </c>
      <c r="N483">
        <v>9</v>
      </c>
      <c r="O483" t="s">
        <v>53</v>
      </c>
      <c r="P483" t="s">
        <v>38</v>
      </c>
      <c r="Q483">
        <v>97</v>
      </c>
      <c r="R483">
        <v>0</v>
      </c>
      <c r="S483" t="s">
        <v>39</v>
      </c>
      <c r="T483" t="s">
        <v>40</v>
      </c>
      <c r="U483" t="s">
        <v>329</v>
      </c>
      <c r="V483" t="s">
        <v>105</v>
      </c>
      <c r="W483" t="s">
        <v>791</v>
      </c>
      <c r="X483" t="s">
        <v>939</v>
      </c>
      <c r="Y483" t="s">
        <v>45</v>
      </c>
      <c r="Z483">
        <v>20</v>
      </c>
      <c r="AA483">
        <v>6</v>
      </c>
      <c r="AB483" t="s">
        <v>46</v>
      </c>
      <c r="AC483" t="s">
        <v>47</v>
      </c>
      <c r="AD483" t="s">
        <v>1330</v>
      </c>
      <c r="AE483" t="s">
        <v>1331</v>
      </c>
    </row>
    <row r="484" spans="1:31" x14ac:dyDescent="0.2">
      <c r="A484" t="s">
        <v>31</v>
      </c>
      <c r="B484">
        <v>2015</v>
      </c>
      <c r="C484">
        <v>26</v>
      </c>
      <c r="D484" s="1">
        <v>42120</v>
      </c>
      <c r="E484" t="s">
        <v>63</v>
      </c>
      <c r="F484" t="s">
        <v>64</v>
      </c>
      <c r="G484" t="s">
        <v>65</v>
      </c>
      <c r="H484" t="s">
        <v>35</v>
      </c>
      <c r="I484" t="s">
        <v>35</v>
      </c>
      <c r="J484" t="s">
        <v>37</v>
      </c>
      <c r="K484">
        <v>95</v>
      </c>
      <c r="L484">
        <v>10</v>
      </c>
      <c r="M484">
        <v>99</v>
      </c>
      <c r="N484">
        <v>0</v>
      </c>
      <c r="O484" t="s">
        <v>35</v>
      </c>
      <c r="P484" t="s">
        <v>38</v>
      </c>
      <c r="Q484">
        <v>0</v>
      </c>
      <c r="R484">
        <v>10</v>
      </c>
      <c r="S484" t="s">
        <v>1332</v>
      </c>
      <c r="T484" t="s">
        <v>681</v>
      </c>
      <c r="U484" t="s">
        <v>297</v>
      </c>
      <c r="V484" t="s">
        <v>111</v>
      </c>
      <c r="W484" t="s">
        <v>146</v>
      </c>
      <c r="X484" t="s">
        <v>605</v>
      </c>
      <c r="Y484" t="s">
        <v>45</v>
      </c>
      <c r="Z484">
        <v>20</v>
      </c>
      <c r="AA484">
        <v>6</v>
      </c>
      <c r="AB484" t="s">
        <v>46</v>
      </c>
      <c r="AC484" t="s">
        <v>47</v>
      </c>
      <c r="AD484" t="s">
        <v>1333</v>
      </c>
      <c r="AE484" t="s">
        <v>1334</v>
      </c>
    </row>
    <row r="485" spans="1:31" x14ac:dyDescent="0.2">
      <c r="A485" t="s">
        <v>31</v>
      </c>
      <c r="B485">
        <v>2015</v>
      </c>
      <c r="C485">
        <v>27</v>
      </c>
      <c r="D485" s="1">
        <v>42121</v>
      </c>
      <c r="E485" t="s">
        <v>50</v>
      </c>
      <c r="F485" t="s">
        <v>51</v>
      </c>
      <c r="G485" t="s">
        <v>52</v>
      </c>
      <c r="H485" t="s">
        <v>968</v>
      </c>
      <c r="I485" t="s">
        <v>52</v>
      </c>
      <c r="J485" t="s">
        <v>37</v>
      </c>
      <c r="K485">
        <v>130</v>
      </c>
      <c r="L485">
        <v>9</v>
      </c>
      <c r="M485">
        <v>150</v>
      </c>
      <c r="N485">
        <v>6</v>
      </c>
      <c r="O485" t="s">
        <v>968</v>
      </c>
      <c r="P485" t="s">
        <v>38</v>
      </c>
      <c r="Q485">
        <v>20</v>
      </c>
      <c r="R485">
        <v>0</v>
      </c>
      <c r="S485" t="s">
        <v>1335</v>
      </c>
      <c r="T485" t="s">
        <v>502</v>
      </c>
      <c r="U485" t="s">
        <v>312</v>
      </c>
      <c r="V485" t="s">
        <v>1283</v>
      </c>
      <c r="W485" t="s">
        <v>1282</v>
      </c>
      <c r="X485" t="s">
        <v>158</v>
      </c>
      <c r="Y485" t="s">
        <v>45</v>
      </c>
      <c r="Z485">
        <v>20</v>
      </c>
      <c r="AA485">
        <v>6</v>
      </c>
      <c r="AB485" t="s">
        <v>46</v>
      </c>
      <c r="AC485" t="s">
        <v>47</v>
      </c>
      <c r="AD485" t="s">
        <v>1336</v>
      </c>
      <c r="AE485" t="s">
        <v>1337</v>
      </c>
    </row>
    <row r="486" spans="1:31" x14ac:dyDescent="0.2">
      <c r="A486" t="s">
        <v>31</v>
      </c>
      <c r="B486">
        <v>2015</v>
      </c>
      <c r="C486">
        <v>28</v>
      </c>
      <c r="D486" s="1">
        <v>42122</v>
      </c>
      <c r="E486" t="s">
        <v>108</v>
      </c>
      <c r="F486" t="s">
        <v>109</v>
      </c>
      <c r="G486" t="s">
        <v>53</v>
      </c>
      <c r="H486" t="s">
        <v>36</v>
      </c>
      <c r="I486" t="s">
        <v>36</v>
      </c>
      <c r="J486" t="s">
        <v>37</v>
      </c>
      <c r="K486">
        <v>134</v>
      </c>
      <c r="L486">
        <v>6</v>
      </c>
      <c r="M486">
        <v>132</v>
      </c>
      <c r="N486">
        <v>9</v>
      </c>
      <c r="O486" t="s">
        <v>53</v>
      </c>
      <c r="P486" t="s">
        <v>38</v>
      </c>
      <c r="Q486">
        <v>2</v>
      </c>
      <c r="R486">
        <v>0</v>
      </c>
      <c r="S486" t="s">
        <v>219</v>
      </c>
      <c r="T486" t="s">
        <v>40</v>
      </c>
      <c r="U486" t="s">
        <v>201</v>
      </c>
      <c r="V486" t="s">
        <v>642</v>
      </c>
      <c r="W486" t="s">
        <v>1139</v>
      </c>
      <c r="X486" t="s">
        <v>631</v>
      </c>
      <c r="Y486" t="s">
        <v>45</v>
      </c>
      <c r="Z486">
        <v>20</v>
      </c>
      <c r="AA486">
        <v>6</v>
      </c>
      <c r="AB486" t="s">
        <v>46</v>
      </c>
      <c r="AC486" t="s">
        <v>47</v>
      </c>
      <c r="AD486" t="s">
        <v>1306</v>
      </c>
      <c r="AE486" t="s">
        <v>1338</v>
      </c>
    </row>
    <row r="487" spans="1:31" x14ac:dyDescent="0.2">
      <c r="A487" t="s">
        <v>31</v>
      </c>
      <c r="B487">
        <v>2015</v>
      </c>
      <c r="C487">
        <v>29</v>
      </c>
      <c r="D487" s="1">
        <v>42123</v>
      </c>
      <c r="E487" t="s">
        <v>33</v>
      </c>
      <c r="F487" t="s">
        <v>34</v>
      </c>
      <c r="G487" t="s">
        <v>35</v>
      </c>
      <c r="H487" t="s">
        <v>66</v>
      </c>
      <c r="I487" t="s">
        <v>66</v>
      </c>
      <c r="J487" t="s">
        <v>37</v>
      </c>
      <c r="K487">
        <v>200</v>
      </c>
      <c r="L487">
        <v>7</v>
      </c>
      <c r="M487">
        <v>0</v>
      </c>
      <c r="N487">
        <v>0</v>
      </c>
      <c r="O487" t="s">
        <v>304</v>
      </c>
      <c r="P487" t="s">
        <v>766</v>
      </c>
      <c r="Q487">
        <v>0</v>
      </c>
      <c r="R487">
        <v>0</v>
      </c>
      <c r="S487" t="s">
        <v>304</v>
      </c>
      <c r="T487" t="s">
        <v>783</v>
      </c>
      <c r="U487" t="s">
        <v>329</v>
      </c>
      <c r="V487" t="s">
        <v>791</v>
      </c>
      <c r="W487" t="s">
        <v>105</v>
      </c>
      <c r="X487" t="s">
        <v>939</v>
      </c>
      <c r="Y487" t="s">
        <v>45</v>
      </c>
      <c r="Z487">
        <v>20</v>
      </c>
      <c r="AA487">
        <v>6</v>
      </c>
      <c r="AB487" t="s">
        <v>46</v>
      </c>
      <c r="AC487" t="s">
        <v>47</v>
      </c>
      <c r="AD487" t="s">
        <v>1339</v>
      </c>
      <c r="AE487" t="s">
        <v>1340</v>
      </c>
    </row>
    <row r="488" spans="1:31" x14ac:dyDescent="0.2">
      <c r="A488" t="s">
        <v>31</v>
      </c>
      <c r="B488">
        <v>2015</v>
      </c>
      <c r="C488">
        <v>30</v>
      </c>
      <c r="D488" s="1">
        <v>42124</v>
      </c>
      <c r="E488" t="s">
        <v>75</v>
      </c>
      <c r="F488" t="s">
        <v>76</v>
      </c>
      <c r="G488" t="s">
        <v>36</v>
      </c>
      <c r="H488" t="s">
        <v>53</v>
      </c>
      <c r="I488" t="s">
        <v>36</v>
      </c>
      <c r="J488" t="s">
        <v>37</v>
      </c>
      <c r="K488">
        <v>169</v>
      </c>
      <c r="L488">
        <v>3</v>
      </c>
      <c r="M488">
        <v>165</v>
      </c>
      <c r="N488">
        <v>9</v>
      </c>
      <c r="O488" t="s">
        <v>36</v>
      </c>
      <c r="P488" t="s">
        <v>38</v>
      </c>
      <c r="Q488">
        <v>0</v>
      </c>
      <c r="R488">
        <v>7</v>
      </c>
      <c r="S488" t="s">
        <v>1308</v>
      </c>
      <c r="T488" t="s">
        <v>790</v>
      </c>
      <c r="U488" t="s">
        <v>146</v>
      </c>
      <c r="V488" t="s">
        <v>297</v>
      </c>
      <c r="W488" t="s">
        <v>201</v>
      </c>
      <c r="X488" t="s">
        <v>969</v>
      </c>
      <c r="Y488" t="s">
        <v>45</v>
      </c>
      <c r="Z488">
        <v>20</v>
      </c>
      <c r="AA488">
        <v>6</v>
      </c>
      <c r="AB488" t="s">
        <v>46</v>
      </c>
      <c r="AC488" t="s">
        <v>47</v>
      </c>
      <c r="AD488" t="s">
        <v>1341</v>
      </c>
      <c r="AE488" t="s">
        <v>1342</v>
      </c>
    </row>
    <row r="489" spans="1:31" x14ac:dyDescent="0.2">
      <c r="A489" t="s">
        <v>31</v>
      </c>
      <c r="B489">
        <v>2015</v>
      </c>
      <c r="C489">
        <v>31</v>
      </c>
      <c r="D489" s="1">
        <v>42125</v>
      </c>
      <c r="E489" t="s">
        <v>63</v>
      </c>
      <c r="F489" t="s">
        <v>64</v>
      </c>
      <c r="G489" t="s">
        <v>65</v>
      </c>
      <c r="H489" t="s">
        <v>52</v>
      </c>
      <c r="I489" t="s">
        <v>65</v>
      </c>
      <c r="J489" t="s">
        <v>37</v>
      </c>
      <c r="K489">
        <v>119</v>
      </c>
      <c r="L489">
        <v>1</v>
      </c>
      <c r="M489">
        <v>118</v>
      </c>
      <c r="N489">
        <v>8</v>
      </c>
      <c r="O489" t="s">
        <v>65</v>
      </c>
      <c r="P489" t="s">
        <v>38</v>
      </c>
      <c r="Q489">
        <v>0</v>
      </c>
      <c r="R489">
        <v>9</v>
      </c>
      <c r="S489" t="s">
        <v>1343</v>
      </c>
      <c r="T489" t="s">
        <v>783</v>
      </c>
      <c r="U489" t="s">
        <v>1139</v>
      </c>
      <c r="V489" t="s">
        <v>111</v>
      </c>
      <c r="W489" t="s">
        <v>642</v>
      </c>
      <c r="X489" t="s">
        <v>631</v>
      </c>
      <c r="Y489" t="s">
        <v>45</v>
      </c>
      <c r="Z489">
        <v>20</v>
      </c>
      <c r="AA489">
        <v>6</v>
      </c>
      <c r="AB489" t="s">
        <v>46</v>
      </c>
      <c r="AC489" t="s">
        <v>47</v>
      </c>
      <c r="AD489" t="s">
        <v>1344</v>
      </c>
      <c r="AE489" t="s">
        <v>1345</v>
      </c>
    </row>
    <row r="490" spans="1:31" x14ac:dyDescent="0.2">
      <c r="A490" t="s">
        <v>31</v>
      </c>
      <c r="B490">
        <v>2015</v>
      </c>
      <c r="C490">
        <v>32</v>
      </c>
      <c r="D490" s="1">
        <v>42125</v>
      </c>
      <c r="E490" t="s">
        <v>85</v>
      </c>
      <c r="F490" t="s">
        <v>86</v>
      </c>
      <c r="G490" t="s">
        <v>87</v>
      </c>
      <c r="H490" t="s">
        <v>66</v>
      </c>
      <c r="I490" t="s">
        <v>66</v>
      </c>
      <c r="J490" t="s">
        <v>37</v>
      </c>
      <c r="K490">
        <v>187</v>
      </c>
      <c r="L490">
        <v>5</v>
      </c>
      <c r="M490">
        <v>179</v>
      </c>
      <c r="N490">
        <v>7</v>
      </c>
      <c r="O490" t="s">
        <v>87</v>
      </c>
      <c r="P490" t="s">
        <v>38</v>
      </c>
      <c r="Q490">
        <v>8</v>
      </c>
      <c r="R490">
        <v>0</v>
      </c>
      <c r="S490" t="s">
        <v>530</v>
      </c>
      <c r="T490" t="s">
        <v>502</v>
      </c>
      <c r="U490" t="s">
        <v>312</v>
      </c>
      <c r="V490" t="s">
        <v>158</v>
      </c>
      <c r="W490" t="s">
        <v>1283</v>
      </c>
      <c r="X490" t="s">
        <v>989</v>
      </c>
      <c r="Y490" t="s">
        <v>45</v>
      </c>
      <c r="Z490">
        <v>20</v>
      </c>
      <c r="AA490">
        <v>6</v>
      </c>
      <c r="AB490" t="s">
        <v>46</v>
      </c>
      <c r="AC490" t="s">
        <v>47</v>
      </c>
      <c r="AD490" t="s">
        <v>1346</v>
      </c>
      <c r="AE490" t="s">
        <v>1347</v>
      </c>
    </row>
    <row r="491" spans="1:31" x14ac:dyDescent="0.2">
      <c r="A491" t="s">
        <v>31</v>
      </c>
      <c r="B491">
        <v>2015</v>
      </c>
      <c r="C491">
        <v>33</v>
      </c>
      <c r="D491" s="1">
        <v>42126</v>
      </c>
      <c r="E491" t="s">
        <v>33</v>
      </c>
      <c r="F491" t="s">
        <v>34</v>
      </c>
      <c r="G491" t="s">
        <v>35</v>
      </c>
      <c r="H491" t="s">
        <v>36</v>
      </c>
      <c r="I491" t="s">
        <v>35</v>
      </c>
      <c r="J491" t="s">
        <v>37</v>
      </c>
      <c r="K491">
        <v>115</v>
      </c>
      <c r="L491">
        <v>3</v>
      </c>
      <c r="M491">
        <v>111</v>
      </c>
      <c r="N491">
        <v>4</v>
      </c>
      <c r="O491" t="s">
        <v>35</v>
      </c>
      <c r="P491" t="s">
        <v>38</v>
      </c>
      <c r="Q491">
        <v>0</v>
      </c>
      <c r="R491">
        <v>7</v>
      </c>
      <c r="S491" t="s">
        <v>874</v>
      </c>
      <c r="T491" t="s">
        <v>40</v>
      </c>
      <c r="U491" t="s">
        <v>329</v>
      </c>
      <c r="V491" t="s">
        <v>791</v>
      </c>
      <c r="W491" t="s">
        <v>105</v>
      </c>
      <c r="X491" t="s">
        <v>939</v>
      </c>
      <c r="Y491" t="s">
        <v>45</v>
      </c>
      <c r="Z491">
        <v>20</v>
      </c>
      <c r="AA491">
        <v>6</v>
      </c>
      <c r="AB491" t="s">
        <v>46</v>
      </c>
      <c r="AC491" t="s">
        <v>47</v>
      </c>
      <c r="AD491" t="s">
        <v>1348</v>
      </c>
      <c r="AE491" t="s">
        <v>1349</v>
      </c>
    </row>
    <row r="492" spans="1:31" x14ac:dyDescent="0.2">
      <c r="A492" t="s">
        <v>31</v>
      </c>
      <c r="B492">
        <v>2015</v>
      </c>
      <c r="C492">
        <v>34</v>
      </c>
      <c r="D492" s="1">
        <v>42126</v>
      </c>
      <c r="E492" t="s">
        <v>101</v>
      </c>
      <c r="F492" t="s">
        <v>102</v>
      </c>
      <c r="G492" t="s">
        <v>968</v>
      </c>
      <c r="H492" t="s">
        <v>53</v>
      </c>
      <c r="I492" t="s">
        <v>53</v>
      </c>
      <c r="J492" t="s">
        <v>37</v>
      </c>
      <c r="K492">
        <v>192</v>
      </c>
      <c r="L492">
        <v>7</v>
      </c>
      <c r="M492">
        <v>170</v>
      </c>
      <c r="N492">
        <v>6</v>
      </c>
      <c r="O492" t="s">
        <v>968</v>
      </c>
      <c r="P492" t="s">
        <v>38</v>
      </c>
      <c r="Q492">
        <v>22</v>
      </c>
      <c r="R492">
        <v>0</v>
      </c>
      <c r="S492" t="s">
        <v>512</v>
      </c>
      <c r="T492" t="s">
        <v>790</v>
      </c>
      <c r="U492" t="s">
        <v>146</v>
      </c>
      <c r="V492" t="s">
        <v>174</v>
      </c>
      <c r="W492" t="s">
        <v>297</v>
      </c>
      <c r="X492" t="s">
        <v>969</v>
      </c>
      <c r="Y492" t="s">
        <v>45</v>
      </c>
      <c r="Z492">
        <v>20</v>
      </c>
      <c r="AA492">
        <v>6</v>
      </c>
      <c r="AB492" t="s">
        <v>46</v>
      </c>
      <c r="AC492" t="s">
        <v>47</v>
      </c>
      <c r="AD492" t="s">
        <v>1350</v>
      </c>
      <c r="AE492" t="s">
        <v>1351</v>
      </c>
    </row>
    <row r="493" spans="1:31" x14ac:dyDescent="0.2">
      <c r="A493" t="s">
        <v>31</v>
      </c>
      <c r="B493">
        <v>2015</v>
      </c>
      <c r="C493">
        <v>35</v>
      </c>
      <c r="D493" s="1">
        <v>42127</v>
      </c>
      <c r="E493" t="s">
        <v>50</v>
      </c>
      <c r="F493" t="s">
        <v>51</v>
      </c>
      <c r="G493" t="s">
        <v>52</v>
      </c>
      <c r="H493" t="s">
        <v>87</v>
      </c>
      <c r="I493" t="s">
        <v>87</v>
      </c>
      <c r="J493" t="s">
        <v>54</v>
      </c>
      <c r="K493">
        <v>149</v>
      </c>
      <c r="L493">
        <v>7</v>
      </c>
      <c r="M493">
        <v>172</v>
      </c>
      <c r="N493">
        <v>3</v>
      </c>
      <c r="O493" t="s">
        <v>87</v>
      </c>
      <c r="P493" t="s">
        <v>38</v>
      </c>
      <c r="Q493">
        <v>23</v>
      </c>
      <c r="R493">
        <v>0</v>
      </c>
      <c r="S493" t="s">
        <v>1250</v>
      </c>
      <c r="T493" t="s">
        <v>783</v>
      </c>
      <c r="U493" t="s">
        <v>1139</v>
      </c>
      <c r="V493" t="s">
        <v>642</v>
      </c>
      <c r="W493" t="s">
        <v>111</v>
      </c>
      <c r="X493" t="s">
        <v>201</v>
      </c>
      <c r="Y493" t="s">
        <v>45</v>
      </c>
      <c r="Z493">
        <v>20</v>
      </c>
      <c r="AA493">
        <v>6</v>
      </c>
      <c r="AB493" t="s">
        <v>46</v>
      </c>
      <c r="AC493" t="s">
        <v>47</v>
      </c>
      <c r="AD493" t="s">
        <v>1352</v>
      </c>
      <c r="AE493" t="s">
        <v>1353</v>
      </c>
    </row>
    <row r="494" spans="1:31" x14ac:dyDescent="0.2">
      <c r="A494" t="s">
        <v>31</v>
      </c>
      <c r="B494">
        <v>2015</v>
      </c>
      <c r="C494">
        <v>36</v>
      </c>
      <c r="D494" s="1">
        <v>42127</v>
      </c>
      <c r="E494" t="s">
        <v>85</v>
      </c>
      <c r="F494" t="s">
        <v>443</v>
      </c>
      <c r="G494" t="s">
        <v>66</v>
      </c>
      <c r="H494" t="s">
        <v>65</v>
      </c>
      <c r="I494" t="s">
        <v>65</v>
      </c>
      <c r="J494" t="s">
        <v>37</v>
      </c>
      <c r="K494">
        <v>189</v>
      </c>
      <c r="L494">
        <v>2</v>
      </c>
      <c r="M494">
        <v>175</v>
      </c>
      <c r="N494">
        <v>7</v>
      </c>
      <c r="O494" t="s">
        <v>66</v>
      </c>
      <c r="P494" t="s">
        <v>38</v>
      </c>
      <c r="Q494">
        <v>14</v>
      </c>
      <c r="R494">
        <v>0</v>
      </c>
      <c r="S494" t="s">
        <v>794</v>
      </c>
      <c r="T494" t="s">
        <v>502</v>
      </c>
      <c r="U494" t="s">
        <v>312</v>
      </c>
      <c r="V494" t="s">
        <v>1283</v>
      </c>
      <c r="W494" t="s">
        <v>158</v>
      </c>
      <c r="X494" t="s">
        <v>72</v>
      </c>
      <c r="Y494" t="s">
        <v>45</v>
      </c>
      <c r="Z494">
        <v>20</v>
      </c>
      <c r="AA494">
        <v>6</v>
      </c>
      <c r="AB494" t="s">
        <v>46</v>
      </c>
      <c r="AC494" t="s">
        <v>47</v>
      </c>
      <c r="AD494" t="s">
        <v>1354</v>
      </c>
      <c r="AE494" t="s">
        <v>1355</v>
      </c>
    </row>
    <row r="495" spans="1:31" x14ac:dyDescent="0.2">
      <c r="A495" t="s">
        <v>31</v>
      </c>
      <c r="B495">
        <v>2015</v>
      </c>
      <c r="C495">
        <v>37</v>
      </c>
      <c r="D495" s="1">
        <v>42128</v>
      </c>
      <c r="E495" t="s">
        <v>108</v>
      </c>
      <c r="F495" t="s">
        <v>109</v>
      </c>
      <c r="G495" t="s">
        <v>53</v>
      </c>
      <c r="H495" t="s">
        <v>35</v>
      </c>
      <c r="I495" t="s">
        <v>53</v>
      </c>
      <c r="J495" t="s">
        <v>54</v>
      </c>
      <c r="K495">
        <v>148</v>
      </c>
      <c r="L495">
        <v>9</v>
      </c>
      <c r="M495">
        <v>124</v>
      </c>
      <c r="N495">
        <v>10</v>
      </c>
      <c r="O495" t="s">
        <v>53</v>
      </c>
      <c r="P495" t="s">
        <v>38</v>
      </c>
      <c r="Q495">
        <v>24</v>
      </c>
      <c r="R495">
        <v>0</v>
      </c>
      <c r="S495" t="s">
        <v>248</v>
      </c>
      <c r="T495" t="s">
        <v>40</v>
      </c>
      <c r="U495" t="s">
        <v>105</v>
      </c>
      <c r="V495" t="s">
        <v>605</v>
      </c>
      <c r="W495" t="s">
        <v>329</v>
      </c>
      <c r="X495" t="s">
        <v>791</v>
      </c>
      <c r="Y495" t="s">
        <v>45</v>
      </c>
      <c r="Z495">
        <v>20</v>
      </c>
      <c r="AA495">
        <v>6</v>
      </c>
      <c r="AB495" t="s">
        <v>46</v>
      </c>
      <c r="AC495" t="s">
        <v>47</v>
      </c>
      <c r="AD495" t="s">
        <v>1356</v>
      </c>
      <c r="AE495" t="s">
        <v>1357</v>
      </c>
    </row>
    <row r="496" spans="1:31" x14ac:dyDescent="0.2">
      <c r="A496" t="s">
        <v>31</v>
      </c>
      <c r="B496">
        <v>2015</v>
      </c>
      <c r="C496">
        <v>38</v>
      </c>
      <c r="D496" s="1">
        <v>42128</v>
      </c>
      <c r="E496" t="s">
        <v>75</v>
      </c>
      <c r="F496" t="s">
        <v>76</v>
      </c>
      <c r="G496" t="s">
        <v>36</v>
      </c>
      <c r="H496" t="s">
        <v>968</v>
      </c>
      <c r="I496" t="s">
        <v>968</v>
      </c>
      <c r="J496" t="s">
        <v>37</v>
      </c>
      <c r="K496">
        <v>167</v>
      </c>
      <c r="L496">
        <v>7</v>
      </c>
      <c r="M496">
        <v>132</v>
      </c>
      <c r="N496">
        <v>9</v>
      </c>
      <c r="O496" t="s">
        <v>36</v>
      </c>
      <c r="P496" t="s">
        <v>38</v>
      </c>
      <c r="Q496">
        <v>35</v>
      </c>
      <c r="R496">
        <v>0</v>
      </c>
      <c r="S496" t="s">
        <v>934</v>
      </c>
      <c r="T496" t="s">
        <v>790</v>
      </c>
      <c r="U496" t="s">
        <v>146</v>
      </c>
      <c r="V496" t="s">
        <v>297</v>
      </c>
      <c r="W496" t="s">
        <v>174</v>
      </c>
      <c r="X496" t="s">
        <v>969</v>
      </c>
      <c r="Y496" t="s">
        <v>45</v>
      </c>
      <c r="Z496">
        <v>20</v>
      </c>
      <c r="AA496">
        <v>6</v>
      </c>
      <c r="AB496" t="s">
        <v>46</v>
      </c>
      <c r="AC496" t="s">
        <v>47</v>
      </c>
      <c r="AD496" t="s">
        <v>1358</v>
      </c>
      <c r="AE496" t="s">
        <v>1359</v>
      </c>
    </row>
    <row r="497" spans="1:31" x14ac:dyDescent="0.2">
      <c r="A497" t="s">
        <v>31</v>
      </c>
      <c r="B497">
        <v>2015</v>
      </c>
      <c r="C497">
        <v>39</v>
      </c>
      <c r="D497" s="1">
        <v>42129</v>
      </c>
      <c r="E497" t="s">
        <v>85</v>
      </c>
      <c r="F497" t="s">
        <v>86</v>
      </c>
      <c r="G497" t="s">
        <v>87</v>
      </c>
      <c r="H497" t="s">
        <v>65</v>
      </c>
      <c r="I497" t="s">
        <v>65</v>
      </c>
      <c r="J497" t="s">
        <v>54</v>
      </c>
      <c r="K497">
        <v>153</v>
      </c>
      <c r="L497">
        <v>5</v>
      </c>
      <c r="M497">
        <v>152</v>
      </c>
      <c r="N497">
        <v>6</v>
      </c>
      <c r="O497" t="s">
        <v>87</v>
      </c>
      <c r="P497" t="s">
        <v>38</v>
      </c>
      <c r="Q497">
        <v>0</v>
      </c>
      <c r="R497">
        <v>5</v>
      </c>
      <c r="S497" t="s">
        <v>394</v>
      </c>
      <c r="T497" t="s">
        <v>502</v>
      </c>
      <c r="U497" t="s">
        <v>312</v>
      </c>
      <c r="V497" t="s">
        <v>1283</v>
      </c>
      <c r="W497" t="s">
        <v>158</v>
      </c>
      <c r="X497" t="s">
        <v>989</v>
      </c>
      <c r="Y497" t="s">
        <v>45</v>
      </c>
      <c r="Z497">
        <v>20</v>
      </c>
      <c r="AA497">
        <v>6</v>
      </c>
      <c r="AB497" t="s">
        <v>46</v>
      </c>
      <c r="AC497" t="s">
        <v>47</v>
      </c>
      <c r="AD497" t="s">
        <v>1360</v>
      </c>
      <c r="AE497" t="s">
        <v>1361</v>
      </c>
    </row>
    <row r="498" spans="1:31" x14ac:dyDescent="0.2">
      <c r="A498" t="s">
        <v>31</v>
      </c>
      <c r="B498">
        <v>2015</v>
      </c>
      <c r="C498">
        <v>40</v>
      </c>
      <c r="D498" s="1">
        <v>42130</v>
      </c>
      <c r="E498" t="s">
        <v>33</v>
      </c>
      <c r="F498" t="s">
        <v>34</v>
      </c>
      <c r="G498" t="s">
        <v>35</v>
      </c>
      <c r="H498" t="s">
        <v>52</v>
      </c>
      <c r="I498" t="s">
        <v>52</v>
      </c>
      <c r="J498" t="s">
        <v>37</v>
      </c>
      <c r="K498">
        <v>226</v>
      </c>
      <c r="L498">
        <v>3</v>
      </c>
      <c r="M498">
        <v>88</v>
      </c>
      <c r="N498">
        <v>10</v>
      </c>
      <c r="O498" t="s">
        <v>35</v>
      </c>
      <c r="P498" t="s">
        <v>38</v>
      </c>
      <c r="Q498">
        <v>138</v>
      </c>
      <c r="R498">
        <v>0</v>
      </c>
      <c r="S498" t="s">
        <v>292</v>
      </c>
      <c r="T498" t="s">
        <v>783</v>
      </c>
      <c r="U498" t="s">
        <v>1139</v>
      </c>
      <c r="V498" t="s">
        <v>642</v>
      </c>
      <c r="W498" t="s">
        <v>111</v>
      </c>
      <c r="X498" t="s">
        <v>201</v>
      </c>
      <c r="Y498" t="s">
        <v>45</v>
      </c>
      <c r="Z498">
        <v>20</v>
      </c>
      <c r="AA498">
        <v>6</v>
      </c>
      <c r="AB498" t="s">
        <v>46</v>
      </c>
      <c r="AC498" t="s">
        <v>47</v>
      </c>
      <c r="AD498" t="s">
        <v>1362</v>
      </c>
      <c r="AE498" t="s">
        <v>1363</v>
      </c>
    </row>
    <row r="499" spans="1:31" x14ac:dyDescent="0.2">
      <c r="A499" t="s">
        <v>31</v>
      </c>
      <c r="B499">
        <v>2015</v>
      </c>
      <c r="C499">
        <v>41</v>
      </c>
      <c r="D499" s="1">
        <v>42131</v>
      </c>
      <c r="E499" t="s">
        <v>85</v>
      </c>
      <c r="F499" t="s">
        <v>443</v>
      </c>
      <c r="G499" t="s">
        <v>66</v>
      </c>
      <c r="H499" t="s">
        <v>968</v>
      </c>
      <c r="I499" t="s">
        <v>66</v>
      </c>
      <c r="J499" t="s">
        <v>37</v>
      </c>
      <c r="K499">
        <v>194</v>
      </c>
      <c r="L499">
        <v>7</v>
      </c>
      <c r="M499">
        <v>201</v>
      </c>
      <c r="N499">
        <v>4</v>
      </c>
      <c r="O499" t="s">
        <v>968</v>
      </c>
      <c r="P499" t="s">
        <v>38</v>
      </c>
      <c r="Q499">
        <v>7</v>
      </c>
      <c r="R499">
        <v>0</v>
      </c>
      <c r="S499" t="s">
        <v>1364</v>
      </c>
      <c r="T499" t="s">
        <v>40</v>
      </c>
      <c r="U499" t="s">
        <v>329</v>
      </c>
      <c r="V499" t="s">
        <v>105</v>
      </c>
      <c r="W499" t="s">
        <v>312</v>
      </c>
      <c r="X499" t="s">
        <v>791</v>
      </c>
      <c r="Y499" t="s">
        <v>45</v>
      </c>
      <c r="Z499">
        <v>20</v>
      </c>
      <c r="AA499">
        <v>6</v>
      </c>
      <c r="AB499" t="s">
        <v>46</v>
      </c>
      <c r="AC499" t="s">
        <v>47</v>
      </c>
      <c r="AD499" t="s">
        <v>1365</v>
      </c>
      <c r="AE499" t="s">
        <v>1366</v>
      </c>
    </row>
    <row r="500" spans="1:31" x14ac:dyDescent="0.2">
      <c r="A500" t="s">
        <v>31</v>
      </c>
      <c r="B500">
        <v>2015</v>
      </c>
      <c r="C500">
        <v>42</v>
      </c>
      <c r="D500" s="1">
        <v>42131</v>
      </c>
      <c r="E500" t="s">
        <v>75</v>
      </c>
      <c r="F500" t="s">
        <v>76</v>
      </c>
      <c r="G500" t="s">
        <v>36</v>
      </c>
      <c r="H500" t="s">
        <v>65</v>
      </c>
      <c r="I500" t="s">
        <v>36</v>
      </c>
      <c r="J500" t="s">
        <v>54</v>
      </c>
      <c r="K500">
        <v>171</v>
      </c>
      <c r="L500">
        <v>7</v>
      </c>
      <c r="M500">
        <v>158</v>
      </c>
      <c r="N500">
        <v>6</v>
      </c>
      <c r="O500" t="s">
        <v>36</v>
      </c>
      <c r="P500" t="s">
        <v>38</v>
      </c>
      <c r="Q500">
        <v>13</v>
      </c>
      <c r="R500">
        <v>0</v>
      </c>
      <c r="S500" t="s">
        <v>560</v>
      </c>
      <c r="T500" t="s">
        <v>502</v>
      </c>
      <c r="U500" t="s">
        <v>146</v>
      </c>
      <c r="V500" t="s">
        <v>297</v>
      </c>
      <c r="W500" t="s">
        <v>174</v>
      </c>
      <c r="X500" t="s">
        <v>969</v>
      </c>
      <c r="Y500" t="s">
        <v>45</v>
      </c>
      <c r="Z500">
        <v>20</v>
      </c>
      <c r="AA500">
        <v>6</v>
      </c>
      <c r="AB500" t="s">
        <v>46</v>
      </c>
      <c r="AC500" t="s">
        <v>47</v>
      </c>
      <c r="AD500" t="s">
        <v>1367</v>
      </c>
      <c r="AE500" t="s">
        <v>1368</v>
      </c>
    </row>
    <row r="501" spans="1:31" x14ac:dyDescent="0.2">
      <c r="A501" t="s">
        <v>31</v>
      </c>
      <c r="B501">
        <v>2015</v>
      </c>
      <c r="C501">
        <v>43</v>
      </c>
      <c r="D501" s="1">
        <v>42132</v>
      </c>
      <c r="E501" t="s">
        <v>108</v>
      </c>
      <c r="F501" t="s">
        <v>109</v>
      </c>
      <c r="G501" t="s">
        <v>53</v>
      </c>
      <c r="H501" t="s">
        <v>87</v>
      </c>
      <c r="I501" t="s">
        <v>53</v>
      </c>
      <c r="J501" t="s">
        <v>54</v>
      </c>
      <c r="K501">
        <v>158</v>
      </c>
      <c r="L501">
        <v>5</v>
      </c>
      <c r="M501">
        <v>159</v>
      </c>
      <c r="N501">
        <v>4</v>
      </c>
      <c r="O501" t="s">
        <v>87</v>
      </c>
      <c r="P501" t="s">
        <v>38</v>
      </c>
      <c r="Q501">
        <v>0</v>
      </c>
      <c r="R501">
        <v>6</v>
      </c>
      <c r="S501" t="s">
        <v>1369</v>
      </c>
      <c r="T501" t="s">
        <v>790</v>
      </c>
      <c r="U501" t="s">
        <v>1283</v>
      </c>
      <c r="V501" t="s">
        <v>158</v>
      </c>
      <c r="W501" t="s">
        <v>605</v>
      </c>
      <c r="X501" t="s">
        <v>989</v>
      </c>
      <c r="Y501" t="s">
        <v>45</v>
      </c>
      <c r="Z501">
        <v>20</v>
      </c>
      <c r="AA501">
        <v>6</v>
      </c>
      <c r="AB501" t="s">
        <v>46</v>
      </c>
      <c r="AC501" t="s">
        <v>47</v>
      </c>
      <c r="AD501" t="s">
        <v>1370</v>
      </c>
      <c r="AE501" t="s">
        <v>1371</v>
      </c>
    </row>
    <row r="502" spans="1:31" x14ac:dyDescent="0.2">
      <c r="A502" t="s">
        <v>31</v>
      </c>
      <c r="B502">
        <v>2015</v>
      </c>
      <c r="C502">
        <v>44</v>
      </c>
      <c r="D502" s="1">
        <v>42133</v>
      </c>
      <c r="E502" t="s">
        <v>75</v>
      </c>
      <c r="F502" t="s">
        <v>76</v>
      </c>
      <c r="G502" t="s">
        <v>36</v>
      </c>
      <c r="H502" t="s">
        <v>52</v>
      </c>
      <c r="I502" t="s">
        <v>52</v>
      </c>
      <c r="J502" t="s">
        <v>54</v>
      </c>
      <c r="K502">
        <v>184</v>
      </c>
      <c r="L502">
        <v>9</v>
      </c>
      <c r="M502">
        <v>183</v>
      </c>
      <c r="N502">
        <v>5</v>
      </c>
      <c r="O502" t="s">
        <v>36</v>
      </c>
      <c r="P502" t="s">
        <v>38</v>
      </c>
      <c r="Q502">
        <v>0</v>
      </c>
      <c r="R502">
        <v>1</v>
      </c>
      <c r="S502" t="s">
        <v>1308</v>
      </c>
      <c r="T502" t="s">
        <v>502</v>
      </c>
      <c r="U502" t="s">
        <v>146</v>
      </c>
      <c r="V502" t="s">
        <v>312</v>
      </c>
      <c r="W502" t="s">
        <v>174</v>
      </c>
      <c r="X502" t="s">
        <v>969</v>
      </c>
      <c r="Y502" t="s">
        <v>45</v>
      </c>
      <c r="Z502">
        <v>20</v>
      </c>
      <c r="AA502">
        <v>6</v>
      </c>
      <c r="AB502" t="s">
        <v>46</v>
      </c>
      <c r="AC502" t="s">
        <v>47</v>
      </c>
      <c r="AD502" t="s">
        <v>1372</v>
      </c>
      <c r="AE502" t="s">
        <v>1373</v>
      </c>
    </row>
    <row r="503" spans="1:31" x14ac:dyDescent="0.2">
      <c r="A503" t="s">
        <v>31</v>
      </c>
      <c r="B503">
        <v>2015</v>
      </c>
      <c r="C503">
        <v>45</v>
      </c>
      <c r="D503" s="1">
        <v>42133</v>
      </c>
      <c r="E503" t="s">
        <v>1051</v>
      </c>
      <c r="F503" t="s">
        <v>1052</v>
      </c>
      <c r="G503" t="s">
        <v>65</v>
      </c>
      <c r="H503" t="s">
        <v>968</v>
      </c>
      <c r="I503" t="s">
        <v>968</v>
      </c>
      <c r="J503" t="s">
        <v>54</v>
      </c>
      <c r="K503">
        <v>157</v>
      </c>
      <c r="L503">
        <v>4</v>
      </c>
      <c r="M503">
        <v>163</v>
      </c>
      <c r="N503">
        <v>4</v>
      </c>
      <c r="O503" t="s">
        <v>968</v>
      </c>
      <c r="P503" t="s">
        <v>38</v>
      </c>
      <c r="Q503">
        <v>6</v>
      </c>
      <c r="R503">
        <v>0</v>
      </c>
      <c r="S503" t="s">
        <v>1374</v>
      </c>
      <c r="T503" t="s">
        <v>783</v>
      </c>
      <c r="U503" t="s">
        <v>642</v>
      </c>
      <c r="V503" t="s">
        <v>111</v>
      </c>
      <c r="W503" t="s">
        <v>1139</v>
      </c>
      <c r="X503" t="s">
        <v>201</v>
      </c>
      <c r="Y503" t="s">
        <v>45</v>
      </c>
      <c r="Z503">
        <v>20</v>
      </c>
      <c r="AA503">
        <v>6</v>
      </c>
      <c r="AB503" t="s">
        <v>46</v>
      </c>
      <c r="AC503" t="s">
        <v>47</v>
      </c>
      <c r="AD503" t="s">
        <v>1375</v>
      </c>
      <c r="AE503" t="s">
        <v>1376</v>
      </c>
    </row>
    <row r="504" spans="1:31" x14ac:dyDescent="0.2">
      <c r="A504" t="s">
        <v>31</v>
      </c>
      <c r="B504">
        <v>2015</v>
      </c>
      <c r="C504">
        <v>46</v>
      </c>
      <c r="D504" s="1">
        <v>42134</v>
      </c>
      <c r="E504" t="s">
        <v>85</v>
      </c>
      <c r="F504" t="s">
        <v>86</v>
      </c>
      <c r="G504" t="s">
        <v>87</v>
      </c>
      <c r="H504" t="s">
        <v>35</v>
      </c>
      <c r="I504" t="s">
        <v>35</v>
      </c>
      <c r="J504" t="s">
        <v>54</v>
      </c>
      <c r="K504">
        <v>196</v>
      </c>
      <c r="L504">
        <v>7</v>
      </c>
      <c r="M504">
        <v>235</v>
      </c>
      <c r="N504">
        <v>1</v>
      </c>
      <c r="O504" t="s">
        <v>35</v>
      </c>
      <c r="P504" t="s">
        <v>38</v>
      </c>
      <c r="Q504">
        <v>39</v>
      </c>
      <c r="R504">
        <v>0</v>
      </c>
      <c r="S504" t="s">
        <v>300</v>
      </c>
      <c r="T504" t="s">
        <v>40</v>
      </c>
      <c r="U504" t="s">
        <v>329</v>
      </c>
      <c r="V504" t="s">
        <v>105</v>
      </c>
      <c r="W504" t="s">
        <v>605</v>
      </c>
      <c r="X504" t="s">
        <v>791</v>
      </c>
      <c r="Y504" t="s">
        <v>45</v>
      </c>
      <c r="Z504">
        <v>20</v>
      </c>
      <c r="AA504">
        <v>6</v>
      </c>
      <c r="AB504" t="s">
        <v>46</v>
      </c>
      <c r="AC504" t="s">
        <v>47</v>
      </c>
      <c r="AD504" t="s">
        <v>1377</v>
      </c>
      <c r="AE504" t="s">
        <v>1362</v>
      </c>
    </row>
    <row r="505" spans="1:31" x14ac:dyDescent="0.2">
      <c r="A505" t="s">
        <v>31</v>
      </c>
      <c r="B505">
        <v>2015</v>
      </c>
      <c r="C505">
        <v>47</v>
      </c>
      <c r="D505" s="1">
        <v>42134</v>
      </c>
      <c r="E505" t="s">
        <v>108</v>
      </c>
      <c r="F505" t="s">
        <v>109</v>
      </c>
      <c r="G505" t="s">
        <v>53</v>
      </c>
      <c r="H505" t="s">
        <v>66</v>
      </c>
      <c r="I505" t="s">
        <v>53</v>
      </c>
      <c r="J505" t="s">
        <v>54</v>
      </c>
      <c r="K505">
        <v>157</v>
      </c>
      <c r="L505">
        <v>5</v>
      </c>
      <c r="M505">
        <v>145</v>
      </c>
      <c r="N505">
        <v>9</v>
      </c>
      <c r="O505" t="s">
        <v>53</v>
      </c>
      <c r="P505" t="s">
        <v>38</v>
      </c>
      <c r="Q505">
        <v>12</v>
      </c>
      <c r="R505">
        <v>0</v>
      </c>
      <c r="S505" t="s">
        <v>802</v>
      </c>
      <c r="T505" t="s">
        <v>790</v>
      </c>
      <c r="U505" t="s">
        <v>297</v>
      </c>
      <c r="V505" t="s">
        <v>158</v>
      </c>
      <c r="W505" t="s">
        <v>1283</v>
      </c>
      <c r="X505" t="s">
        <v>989</v>
      </c>
      <c r="Y505" t="s">
        <v>45</v>
      </c>
      <c r="Z505">
        <v>20</v>
      </c>
      <c r="AA505">
        <v>6</v>
      </c>
      <c r="AB505" t="s">
        <v>46</v>
      </c>
      <c r="AC505" t="s">
        <v>47</v>
      </c>
      <c r="AD505" t="s">
        <v>1378</v>
      </c>
      <c r="AE505" t="s">
        <v>1379</v>
      </c>
    </row>
    <row r="506" spans="1:31" x14ac:dyDescent="0.2">
      <c r="A506" t="s">
        <v>31</v>
      </c>
      <c r="B506">
        <v>2015</v>
      </c>
      <c r="C506">
        <v>48</v>
      </c>
      <c r="D506" s="1">
        <v>42135</v>
      </c>
      <c r="E506" t="s">
        <v>101</v>
      </c>
      <c r="F506" t="s">
        <v>102</v>
      </c>
      <c r="G506" t="s">
        <v>968</v>
      </c>
      <c r="H506" t="s">
        <v>52</v>
      </c>
      <c r="I506" t="s">
        <v>968</v>
      </c>
      <c r="J506" t="s">
        <v>54</v>
      </c>
      <c r="K506">
        <v>185</v>
      </c>
      <c r="L506">
        <v>5</v>
      </c>
      <c r="M506">
        <v>180</v>
      </c>
      <c r="N506">
        <v>7</v>
      </c>
      <c r="O506" t="s">
        <v>968</v>
      </c>
      <c r="P506" t="s">
        <v>38</v>
      </c>
      <c r="Q506">
        <v>5</v>
      </c>
      <c r="R506">
        <v>0</v>
      </c>
      <c r="S506" t="s">
        <v>512</v>
      </c>
      <c r="T506" t="s">
        <v>502</v>
      </c>
      <c r="U506" t="s">
        <v>146</v>
      </c>
      <c r="V506" t="s">
        <v>312</v>
      </c>
      <c r="W506" t="s">
        <v>174</v>
      </c>
      <c r="X506" t="s">
        <v>969</v>
      </c>
      <c r="Y506" t="s">
        <v>45</v>
      </c>
      <c r="Z506">
        <v>20</v>
      </c>
      <c r="AA506">
        <v>6</v>
      </c>
      <c r="AB506" t="s">
        <v>46</v>
      </c>
      <c r="AC506" t="s">
        <v>47</v>
      </c>
      <c r="AD506" t="s">
        <v>1380</v>
      </c>
      <c r="AE506" t="s">
        <v>1381</v>
      </c>
    </row>
    <row r="507" spans="1:31" x14ac:dyDescent="0.2">
      <c r="A507" t="s">
        <v>31</v>
      </c>
      <c r="B507">
        <v>2015</v>
      </c>
      <c r="C507">
        <v>49</v>
      </c>
      <c r="D507" s="1">
        <v>42136</v>
      </c>
      <c r="E507" t="s">
        <v>1051</v>
      </c>
      <c r="F507" t="s">
        <v>1052</v>
      </c>
      <c r="G507" t="s">
        <v>65</v>
      </c>
      <c r="H507" t="s">
        <v>53</v>
      </c>
      <c r="I507" t="s">
        <v>53</v>
      </c>
      <c r="J507" t="s">
        <v>54</v>
      </c>
      <c r="K507">
        <v>120</v>
      </c>
      <c r="L507">
        <v>4</v>
      </c>
      <c r="M507">
        <v>119</v>
      </c>
      <c r="N507">
        <v>6</v>
      </c>
      <c r="O507" t="s">
        <v>65</v>
      </c>
      <c r="P507" t="s">
        <v>38</v>
      </c>
      <c r="Q507">
        <v>0</v>
      </c>
      <c r="R507">
        <v>6</v>
      </c>
      <c r="S507" t="s">
        <v>1382</v>
      </c>
      <c r="T507" t="s">
        <v>783</v>
      </c>
      <c r="U507" t="s">
        <v>1139</v>
      </c>
      <c r="V507" t="s">
        <v>642</v>
      </c>
      <c r="W507" t="s">
        <v>111</v>
      </c>
      <c r="X507" t="s">
        <v>201</v>
      </c>
      <c r="Y507" t="s">
        <v>45</v>
      </c>
      <c r="Z507">
        <v>20</v>
      </c>
      <c r="AA507">
        <v>6</v>
      </c>
      <c r="AB507" t="s">
        <v>46</v>
      </c>
      <c r="AC507" t="s">
        <v>47</v>
      </c>
      <c r="AD507" t="s">
        <v>1383</v>
      </c>
      <c r="AE507" t="s">
        <v>1384</v>
      </c>
    </row>
    <row r="508" spans="1:31" x14ac:dyDescent="0.2">
      <c r="A508" t="s">
        <v>31</v>
      </c>
      <c r="B508">
        <v>2015</v>
      </c>
      <c r="C508">
        <v>50</v>
      </c>
      <c r="D508" s="1">
        <v>42137</v>
      </c>
      <c r="E508" t="s">
        <v>50</v>
      </c>
      <c r="F508" t="s">
        <v>51</v>
      </c>
      <c r="G508" t="s">
        <v>52</v>
      </c>
      <c r="H508" t="s">
        <v>35</v>
      </c>
      <c r="I508" t="s">
        <v>35</v>
      </c>
      <c r="J508" t="s">
        <v>37</v>
      </c>
      <c r="K508">
        <v>106</v>
      </c>
      <c r="L508">
        <v>6</v>
      </c>
      <c r="M508">
        <v>84</v>
      </c>
      <c r="N508">
        <v>6</v>
      </c>
      <c r="O508" t="s">
        <v>52</v>
      </c>
      <c r="P508" t="s">
        <v>38</v>
      </c>
      <c r="Q508">
        <v>22</v>
      </c>
      <c r="R508">
        <v>0</v>
      </c>
      <c r="S508" t="s">
        <v>1243</v>
      </c>
      <c r="T508" t="s">
        <v>40</v>
      </c>
      <c r="U508" t="s">
        <v>329</v>
      </c>
      <c r="V508" t="s">
        <v>105</v>
      </c>
      <c r="W508" t="s">
        <v>158</v>
      </c>
      <c r="X508" t="s">
        <v>791</v>
      </c>
      <c r="Y508" t="s">
        <v>45</v>
      </c>
      <c r="Z508">
        <v>20</v>
      </c>
      <c r="AA508">
        <v>6</v>
      </c>
      <c r="AB508" t="s">
        <v>46</v>
      </c>
      <c r="AC508" t="s">
        <v>47</v>
      </c>
      <c r="AD508" t="s">
        <v>1385</v>
      </c>
      <c r="AE508" t="s">
        <v>1386</v>
      </c>
    </row>
    <row r="509" spans="1:31" x14ac:dyDescent="0.2">
      <c r="A509" t="s">
        <v>31</v>
      </c>
      <c r="B509">
        <v>2015</v>
      </c>
      <c r="C509">
        <v>51</v>
      </c>
      <c r="D509" s="1">
        <v>42138</v>
      </c>
      <c r="E509" t="s">
        <v>85</v>
      </c>
      <c r="F509" t="s">
        <v>86</v>
      </c>
      <c r="G509" t="s">
        <v>87</v>
      </c>
      <c r="H509" t="s">
        <v>36</v>
      </c>
      <c r="I509" t="s">
        <v>36</v>
      </c>
      <c r="J509" t="s">
        <v>37</v>
      </c>
      <c r="K509">
        <v>171</v>
      </c>
      <c r="L509">
        <v>4</v>
      </c>
      <c r="M509">
        <v>166</v>
      </c>
      <c r="N509">
        <v>7</v>
      </c>
      <c r="O509" t="s">
        <v>87</v>
      </c>
      <c r="P509" t="s">
        <v>38</v>
      </c>
      <c r="Q509">
        <v>5</v>
      </c>
      <c r="R509">
        <v>0</v>
      </c>
      <c r="S509" t="s">
        <v>1369</v>
      </c>
      <c r="T509" t="s">
        <v>790</v>
      </c>
      <c r="U509" t="s">
        <v>1139</v>
      </c>
      <c r="V509" t="s">
        <v>642</v>
      </c>
      <c r="W509" t="s">
        <v>201</v>
      </c>
      <c r="X509" t="s">
        <v>1189</v>
      </c>
      <c r="Y509" t="s">
        <v>45</v>
      </c>
      <c r="Z509">
        <v>20</v>
      </c>
      <c r="AA509">
        <v>6</v>
      </c>
      <c r="AB509" t="s">
        <v>46</v>
      </c>
      <c r="AC509" t="s">
        <v>47</v>
      </c>
      <c r="AD509" t="s">
        <v>1387</v>
      </c>
      <c r="AE509" t="s">
        <v>1388</v>
      </c>
    </row>
    <row r="510" spans="1:31" x14ac:dyDescent="0.2">
      <c r="A510" t="s">
        <v>31</v>
      </c>
      <c r="B510">
        <v>2015</v>
      </c>
      <c r="C510">
        <v>52</v>
      </c>
      <c r="D510" s="1">
        <v>42139</v>
      </c>
      <c r="E510" t="s">
        <v>101</v>
      </c>
      <c r="F510" t="s">
        <v>102</v>
      </c>
      <c r="G510" t="s">
        <v>968</v>
      </c>
      <c r="H510" t="s">
        <v>35</v>
      </c>
      <c r="I510" t="s">
        <v>968</v>
      </c>
      <c r="J510" t="s">
        <v>54</v>
      </c>
      <c r="K510">
        <v>135</v>
      </c>
      <c r="L510">
        <v>3</v>
      </c>
      <c r="M510">
        <v>83</v>
      </c>
      <c r="N510">
        <v>4</v>
      </c>
      <c r="O510" t="s">
        <v>35</v>
      </c>
      <c r="P510" t="s">
        <v>38</v>
      </c>
      <c r="Q510">
        <v>0</v>
      </c>
      <c r="R510">
        <v>6</v>
      </c>
      <c r="S510" t="s">
        <v>678</v>
      </c>
      <c r="T510" t="s">
        <v>502</v>
      </c>
      <c r="U510" t="s">
        <v>146</v>
      </c>
      <c r="V510" t="s">
        <v>312</v>
      </c>
      <c r="W510" t="s">
        <v>605</v>
      </c>
      <c r="X510" t="s">
        <v>969</v>
      </c>
      <c r="Y510" t="s">
        <v>45</v>
      </c>
      <c r="Z510">
        <v>20</v>
      </c>
      <c r="AA510">
        <v>6</v>
      </c>
      <c r="AB510" t="s">
        <v>46</v>
      </c>
      <c r="AC510" t="s">
        <v>47</v>
      </c>
      <c r="AD510" t="s">
        <v>1389</v>
      </c>
      <c r="AE510" t="s">
        <v>1390</v>
      </c>
    </row>
    <row r="511" spans="1:31" x14ac:dyDescent="0.2">
      <c r="A511" t="s">
        <v>31</v>
      </c>
      <c r="B511">
        <v>2015</v>
      </c>
      <c r="C511">
        <v>53</v>
      </c>
      <c r="D511" s="1">
        <v>42140</v>
      </c>
      <c r="E511" t="s">
        <v>50</v>
      </c>
      <c r="F511" t="s">
        <v>51</v>
      </c>
      <c r="G511" t="s">
        <v>52</v>
      </c>
      <c r="H511" t="s">
        <v>53</v>
      </c>
      <c r="I511" t="s">
        <v>52</v>
      </c>
      <c r="J511" t="s">
        <v>54</v>
      </c>
      <c r="K511">
        <v>130</v>
      </c>
      <c r="L511">
        <v>7</v>
      </c>
      <c r="M511">
        <v>134</v>
      </c>
      <c r="N511">
        <v>3</v>
      </c>
      <c r="O511" t="s">
        <v>53</v>
      </c>
      <c r="P511" t="s">
        <v>38</v>
      </c>
      <c r="Q511">
        <v>0</v>
      </c>
      <c r="R511">
        <v>7</v>
      </c>
      <c r="S511" t="s">
        <v>889</v>
      </c>
      <c r="T511" t="s">
        <v>40</v>
      </c>
      <c r="U511" t="s">
        <v>158</v>
      </c>
      <c r="V511" t="s">
        <v>105</v>
      </c>
      <c r="W511" t="s">
        <v>329</v>
      </c>
      <c r="X511" t="s">
        <v>939</v>
      </c>
      <c r="Y511" t="s">
        <v>45</v>
      </c>
      <c r="Z511">
        <v>20</v>
      </c>
      <c r="AA511">
        <v>6</v>
      </c>
      <c r="AB511" t="s">
        <v>46</v>
      </c>
      <c r="AC511" t="s">
        <v>47</v>
      </c>
      <c r="AD511" t="s">
        <v>1391</v>
      </c>
      <c r="AE511" t="s">
        <v>1392</v>
      </c>
    </row>
    <row r="512" spans="1:31" x14ac:dyDescent="0.2">
      <c r="A512" t="s">
        <v>31</v>
      </c>
      <c r="B512">
        <v>2015</v>
      </c>
      <c r="C512">
        <v>54</v>
      </c>
      <c r="D512" s="1">
        <v>42140</v>
      </c>
      <c r="E512" t="s">
        <v>85</v>
      </c>
      <c r="F512" t="s">
        <v>443</v>
      </c>
      <c r="G512" t="s">
        <v>66</v>
      </c>
      <c r="H512" t="s">
        <v>36</v>
      </c>
      <c r="I512" t="s">
        <v>66</v>
      </c>
      <c r="J512" t="s">
        <v>54</v>
      </c>
      <c r="K512">
        <v>199</v>
      </c>
      <c r="L512">
        <v>6</v>
      </c>
      <c r="M512">
        <v>190</v>
      </c>
      <c r="N512">
        <v>9</v>
      </c>
      <c r="O512" t="s">
        <v>66</v>
      </c>
      <c r="P512" t="s">
        <v>38</v>
      </c>
      <c r="Q512">
        <v>9</v>
      </c>
      <c r="R512">
        <v>0</v>
      </c>
      <c r="S512" t="s">
        <v>97</v>
      </c>
      <c r="T512" t="s">
        <v>790</v>
      </c>
      <c r="U512" t="s">
        <v>201</v>
      </c>
      <c r="V512" t="s">
        <v>1139</v>
      </c>
      <c r="W512" t="s">
        <v>642</v>
      </c>
      <c r="X512" t="s">
        <v>1189</v>
      </c>
      <c r="Y512" t="s">
        <v>45</v>
      </c>
      <c r="Z512">
        <v>20</v>
      </c>
      <c r="AA512">
        <v>6</v>
      </c>
      <c r="AB512" t="s">
        <v>46</v>
      </c>
      <c r="AC512" t="s">
        <v>47</v>
      </c>
      <c r="AD512" t="s">
        <v>1393</v>
      </c>
      <c r="AE512" t="s">
        <v>1394</v>
      </c>
    </row>
    <row r="513" spans="1:31" x14ac:dyDescent="0.2">
      <c r="A513" t="s">
        <v>31</v>
      </c>
      <c r="B513">
        <v>2015</v>
      </c>
      <c r="C513">
        <v>55</v>
      </c>
      <c r="D513" s="1">
        <v>42141</v>
      </c>
      <c r="E513" t="s">
        <v>33</v>
      </c>
      <c r="F513" t="s">
        <v>34</v>
      </c>
      <c r="G513" t="s">
        <v>35</v>
      </c>
      <c r="H513" t="s">
        <v>65</v>
      </c>
      <c r="I513" t="s">
        <v>35</v>
      </c>
      <c r="J513" t="s">
        <v>37</v>
      </c>
      <c r="K513">
        <v>2</v>
      </c>
      <c r="L513">
        <v>0</v>
      </c>
      <c r="M513">
        <v>187</v>
      </c>
      <c r="N513">
        <v>5</v>
      </c>
      <c r="O513" t="s">
        <v>304</v>
      </c>
      <c r="P513" t="s">
        <v>766</v>
      </c>
      <c r="Q513">
        <v>0</v>
      </c>
      <c r="R513">
        <v>0</v>
      </c>
      <c r="S513" t="s">
        <v>304</v>
      </c>
      <c r="T513" t="s">
        <v>783</v>
      </c>
      <c r="U513" t="s">
        <v>312</v>
      </c>
      <c r="V513" t="s">
        <v>174</v>
      </c>
      <c r="W513" t="s">
        <v>791</v>
      </c>
      <c r="X513" t="s">
        <v>989</v>
      </c>
      <c r="Y513" t="s">
        <v>45</v>
      </c>
      <c r="Z513">
        <v>20</v>
      </c>
      <c r="AA513">
        <v>6</v>
      </c>
      <c r="AB513" t="s">
        <v>46</v>
      </c>
      <c r="AC513" t="s">
        <v>47</v>
      </c>
      <c r="AD513" t="s">
        <v>1395</v>
      </c>
      <c r="AE513" t="s">
        <v>1396</v>
      </c>
    </row>
    <row r="514" spans="1:31" x14ac:dyDescent="0.2">
      <c r="A514" t="s">
        <v>31</v>
      </c>
      <c r="B514">
        <v>2015</v>
      </c>
      <c r="C514">
        <v>56</v>
      </c>
      <c r="D514" s="1">
        <v>42141</v>
      </c>
      <c r="E514" t="s">
        <v>101</v>
      </c>
      <c r="F514" t="s">
        <v>102</v>
      </c>
      <c r="G514" t="s">
        <v>968</v>
      </c>
      <c r="H514" t="s">
        <v>87</v>
      </c>
      <c r="I514" t="s">
        <v>968</v>
      </c>
      <c r="J514" t="s">
        <v>54</v>
      </c>
      <c r="K514">
        <v>113</v>
      </c>
      <c r="L514">
        <v>10</v>
      </c>
      <c r="M514">
        <v>114</v>
      </c>
      <c r="N514">
        <v>1</v>
      </c>
      <c r="O514" t="s">
        <v>87</v>
      </c>
      <c r="P514" t="s">
        <v>38</v>
      </c>
      <c r="Q514">
        <v>0</v>
      </c>
      <c r="R514">
        <v>9</v>
      </c>
      <c r="S514" t="s">
        <v>1397</v>
      </c>
      <c r="T514" t="s">
        <v>502</v>
      </c>
      <c r="U514" t="s">
        <v>1283</v>
      </c>
      <c r="V514" t="s">
        <v>605</v>
      </c>
      <c r="W514" t="s">
        <v>146</v>
      </c>
      <c r="X514" t="s">
        <v>969</v>
      </c>
      <c r="Y514" t="s">
        <v>45</v>
      </c>
      <c r="Z514">
        <v>20</v>
      </c>
      <c r="AA514">
        <v>6</v>
      </c>
      <c r="AB514" t="s">
        <v>46</v>
      </c>
      <c r="AC514" t="s">
        <v>47</v>
      </c>
      <c r="AD514" t="s">
        <v>1398</v>
      </c>
      <c r="AE514" t="s">
        <v>1387</v>
      </c>
    </row>
    <row r="515" spans="1:31" x14ac:dyDescent="0.2">
      <c r="A515" t="s">
        <v>31</v>
      </c>
      <c r="B515">
        <v>2015</v>
      </c>
      <c r="C515" t="s">
        <v>256</v>
      </c>
      <c r="D515" s="1">
        <v>42143</v>
      </c>
      <c r="E515" t="s">
        <v>85</v>
      </c>
      <c r="F515" t="s">
        <v>86</v>
      </c>
      <c r="G515" t="s">
        <v>53</v>
      </c>
      <c r="H515" t="s">
        <v>87</v>
      </c>
      <c r="I515" t="s">
        <v>87</v>
      </c>
      <c r="J515" t="s">
        <v>54</v>
      </c>
      <c r="K515">
        <v>162</v>
      </c>
      <c r="L515">
        <v>10</v>
      </c>
      <c r="M515">
        <v>187</v>
      </c>
      <c r="N515">
        <v>6</v>
      </c>
      <c r="O515" t="s">
        <v>87</v>
      </c>
      <c r="P515" t="s">
        <v>38</v>
      </c>
      <c r="Q515">
        <v>25</v>
      </c>
      <c r="R515">
        <v>0</v>
      </c>
      <c r="S515" t="s">
        <v>568</v>
      </c>
      <c r="T515" t="s">
        <v>783</v>
      </c>
      <c r="U515" t="s">
        <v>312</v>
      </c>
      <c r="V515" t="s">
        <v>1139</v>
      </c>
      <c r="W515" t="s">
        <v>642</v>
      </c>
      <c r="X515" t="s">
        <v>158</v>
      </c>
      <c r="Y515" t="s">
        <v>45</v>
      </c>
      <c r="Z515">
        <v>20</v>
      </c>
      <c r="AA515">
        <v>6</v>
      </c>
      <c r="AB515" t="s">
        <v>46</v>
      </c>
      <c r="AC515" t="s">
        <v>47</v>
      </c>
      <c r="AD515" t="s">
        <v>1399</v>
      </c>
      <c r="AE515" t="s">
        <v>1400</v>
      </c>
    </row>
    <row r="516" spans="1:31" x14ac:dyDescent="0.2">
      <c r="A516" t="s">
        <v>31</v>
      </c>
      <c r="B516">
        <v>2015</v>
      </c>
      <c r="C516" t="s">
        <v>256</v>
      </c>
      <c r="D516" s="1">
        <v>42144</v>
      </c>
      <c r="E516" t="s">
        <v>807</v>
      </c>
      <c r="F516" t="s">
        <v>1015</v>
      </c>
      <c r="G516" t="s">
        <v>35</v>
      </c>
      <c r="H516" t="s">
        <v>66</v>
      </c>
      <c r="I516" t="s">
        <v>35</v>
      </c>
      <c r="J516" t="s">
        <v>54</v>
      </c>
      <c r="K516">
        <v>180</v>
      </c>
      <c r="L516">
        <v>4</v>
      </c>
      <c r="M516">
        <v>109</v>
      </c>
      <c r="N516">
        <v>10</v>
      </c>
      <c r="O516" t="s">
        <v>35</v>
      </c>
      <c r="P516" t="s">
        <v>38</v>
      </c>
      <c r="Q516">
        <v>71</v>
      </c>
      <c r="R516">
        <v>0</v>
      </c>
      <c r="S516" t="s">
        <v>300</v>
      </c>
      <c r="T516" t="s">
        <v>502</v>
      </c>
      <c r="U516" t="s">
        <v>146</v>
      </c>
      <c r="V516" t="s">
        <v>105</v>
      </c>
      <c r="W516" t="s">
        <v>1283</v>
      </c>
      <c r="X516" t="s">
        <v>605</v>
      </c>
      <c r="Y516" t="s">
        <v>45</v>
      </c>
      <c r="Z516">
        <v>20</v>
      </c>
      <c r="AA516">
        <v>6</v>
      </c>
      <c r="AB516" t="s">
        <v>46</v>
      </c>
      <c r="AC516" t="s">
        <v>47</v>
      </c>
      <c r="AD516" t="s">
        <v>1401</v>
      </c>
      <c r="AE516" t="s">
        <v>1402</v>
      </c>
    </row>
    <row r="517" spans="1:31" x14ac:dyDescent="0.2">
      <c r="A517" t="s">
        <v>31</v>
      </c>
      <c r="B517">
        <v>2015</v>
      </c>
      <c r="C517" t="s">
        <v>256</v>
      </c>
      <c r="D517" s="1">
        <v>42146</v>
      </c>
      <c r="E517" t="s">
        <v>1099</v>
      </c>
      <c r="F517" t="s">
        <v>1100</v>
      </c>
      <c r="G517" t="s">
        <v>53</v>
      </c>
      <c r="H517" t="s">
        <v>35</v>
      </c>
      <c r="I517" t="s">
        <v>53</v>
      </c>
      <c r="J517" t="s">
        <v>37</v>
      </c>
      <c r="K517">
        <v>140</v>
      </c>
      <c r="L517">
        <v>7</v>
      </c>
      <c r="M517">
        <v>139</v>
      </c>
      <c r="N517">
        <v>8</v>
      </c>
      <c r="O517" t="s">
        <v>53</v>
      </c>
      <c r="P517" t="s">
        <v>38</v>
      </c>
      <c r="Q517">
        <v>0</v>
      </c>
      <c r="R517">
        <v>3</v>
      </c>
      <c r="S517" t="s">
        <v>177</v>
      </c>
      <c r="T517" t="s">
        <v>502</v>
      </c>
      <c r="U517" t="s">
        <v>146</v>
      </c>
      <c r="V517" t="s">
        <v>1283</v>
      </c>
      <c r="W517" t="s">
        <v>105</v>
      </c>
      <c r="X517" t="s">
        <v>605</v>
      </c>
      <c r="Y517" t="s">
        <v>45</v>
      </c>
      <c r="Z517">
        <v>20</v>
      </c>
      <c r="AA517">
        <v>6</v>
      </c>
      <c r="AB517" t="s">
        <v>46</v>
      </c>
      <c r="AC517" t="s">
        <v>47</v>
      </c>
      <c r="AD517" t="s">
        <v>1403</v>
      </c>
      <c r="AE517" t="s">
        <v>1404</v>
      </c>
    </row>
    <row r="518" spans="1:31" x14ac:dyDescent="0.2">
      <c r="A518" t="s">
        <v>31</v>
      </c>
      <c r="B518">
        <v>2015</v>
      </c>
      <c r="C518" t="s">
        <v>256</v>
      </c>
      <c r="D518" s="1">
        <v>42148</v>
      </c>
      <c r="E518" t="s">
        <v>75</v>
      </c>
      <c r="F518" t="s">
        <v>76</v>
      </c>
      <c r="G518" t="s">
        <v>87</v>
      </c>
      <c r="H518" t="s">
        <v>53</v>
      </c>
      <c r="I518" t="s">
        <v>53</v>
      </c>
      <c r="J518" t="s">
        <v>37</v>
      </c>
      <c r="K518">
        <v>202</v>
      </c>
      <c r="L518">
        <v>5</v>
      </c>
      <c r="M518">
        <v>161</v>
      </c>
      <c r="N518">
        <v>8</v>
      </c>
      <c r="O518" t="s">
        <v>87</v>
      </c>
      <c r="P518" t="s">
        <v>38</v>
      </c>
      <c r="Q518">
        <v>41</v>
      </c>
      <c r="R518">
        <v>0</v>
      </c>
      <c r="S518" t="s">
        <v>369</v>
      </c>
      <c r="T518" t="s">
        <v>783</v>
      </c>
      <c r="U518" t="s">
        <v>312</v>
      </c>
      <c r="V518" t="s">
        <v>1139</v>
      </c>
      <c r="W518" t="s">
        <v>642</v>
      </c>
      <c r="X518" t="s">
        <v>158</v>
      </c>
      <c r="Y518" t="s">
        <v>45</v>
      </c>
      <c r="Z518">
        <v>20</v>
      </c>
      <c r="AA518">
        <v>6</v>
      </c>
      <c r="AB518" t="s">
        <v>46</v>
      </c>
      <c r="AC518" t="s">
        <v>47</v>
      </c>
      <c r="AD518" t="s">
        <v>1405</v>
      </c>
      <c r="AE518" t="s">
        <v>1406</v>
      </c>
    </row>
    <row r="519" spans="1:31" x14ac:dyDescent="0.2">
      <c r="A519" t="s">
        <v>31</v>
      </c>
      <c r="B519">
        <v>2016</v>
      </c>
      <c r="C519">
        <v>1</v>
      </c>
      <c r="D519" s="1">
        <v>42469</v>
      </c>
      <c r="E519" t="s">
        <v>85</v>
      </c>
      <c r="F519" t="s">
        <v>86</v>
      </c>
      <c r="G519" t="s">
        <v>87</v>
      </c>
      <c r="H519" t="s">
        <v>1407</v>
      </c>
      <c r="I519" t="s">
        <v>87</v>
      </c>
      <c r="J519" t="s">
        <v>54</v>
      </c>
      <c r="K519">
        <v>121</v>
      </c>
      <c r="L519">
        <v>8</v>
      </c>
      <c r="M519">
        <v>126</v>
      </c>
      <c r="N519">
        <v>1</v>
      </c>
      <c r="O519" t="s">
        <v>1407</v>
      </c>
      <c r="P519" t="s">
        <v>38</v>
      </c>
      <c r="Q519">
        <v>0</v>
      </c>
      <c r="R519">
        <v>9</v>
      </c>
      <c r="S519" t="s">
        <v>794</v>
      </c>
      <c r="T519" t="s">
        <v>40</v>
      </c>
      <c r="U519" t="s">
        <v>312</v>
      </c>
      <c r="V519" t="s">
        <v>158</v>
      </c>
      <c r="W519" t="s">
        <v>642</v>
      </c>
      <c r="X519" t="s">
        <v>939</v>
      </c>
      <c r="Y519" t="s">
        <v>45</v>
      </c>
      <c r="Z519">
        <v>20</v>
      </c>
      <c r="AA519">
        <v>6</v>
      </c>
      <c r="AB519" t="s">
        <v>46</v>
      </c>
      <c r="AC519" t="s">
        <v>47</v>
      </c>
      <c r="AD519" t="s">
        <v>1408</v>
      </c>
      <c r="AE519" t="s">
        <v>1409</v>
      </c>
    </row>
    <row r="520" spans="1:31" x14ac:dyDescent="0.2">
      <c r="A520" t="s">
        <v>31</v>
      </c>
      <c r="B520">
        <v>2016</v>
      </c>
      <c r="C520">
        <v>2</v>
      </c>
      <c r="D520" s="1">
        <v>42470</v>
      </c>
      <c r="E520" t="s">
        <v>75</v>
      </c>
      <c r="F520" t="s">
        <v>76</v>
      </c>
      <c r="G520" t="s">
        <v>36</v>
      </c>
      <c r="H520" t="s">
        <v>65</v>
      </c>
      <c r="I520" t="s">
        <v>36</v>
      </c>
      <c r="J520" t="s">
        <v>37</v>
      </c>
      <c r="K520">
        <v>99</v>
      </c>
      <c r="L520">
        <v>1</v>
      </c>
      <c r="M520">
        <v>98</v>
      </c>
      <c r="N520">
        <v>10</v>
      </c>
      <c r="O520" t="s">
        <v>36</v>
      </c>
      <c r="P520" t="s">
        <v>38</v>
      </c>
      <c r="Q520">
        <v>0</v>
      </c>
      <c r="R520">
        <v>9</v>
      </c>
      <c r="S520" t="s">
        <v>1308</v>
      </c>
      <c r="T520" t="s">
        <v>1279</v>
      </c>
      <c r="U520" t="s">
        <v>111</v>
      </c>
      <c r="V520" t="s">
        <v>105</v>
      </c>
      <c r="W520" t="s">
        <v>989</v>
      </c>
      <c r="X520" t="s">
        <v>1410</v>
      </c>
      <c r="Y520" t="s">
        <v>45</v>
      </c>
      <c r="Z520">
        <v>20</v>
      </c>
      <c r="AA520">
        <v>6</v>
      </c>
      <c r="AB520" t="s">
        <v>46</v>
      </c>
      <c r="AC520" t="s">
        <v>47</v>
      </c>
      <c r="AD520" t="s">
        <v>1411</v>
      </c>
      <c r="AE520" t="s">
        <v>1412</v>
      </c>
    </row>
    <row r="521" spans="1:31" x14ac:dyDescent="0.2">
      <c r="A521" t="s">
        <v>31</v>
      </c>
      <c r="B521">
        <v>2016</v>
      </c>
      <c r="C521">
        <v>3</v>
      </c>
      <c r="D521" s="1">
        <v>42471</v>
      </c>
      <c r="E521" t="s">
        <v>50</v>
      </c>
      <c r="F521" t="s">
        <v>1413</v>
      </c>
      <c r="G521" t="s">
        <v>52</v>
      </c>
      <c r="H521" t="s">
        <v>1414</v>
      </c>
      <c r="I521" t="s">
        <v>1414</v>
      </c>
      <c r="J521" t="s">
        <v>37</v>
      </c>
      <c r="K521">
        <v>161</v>
      </c>
      <c r="L521">
        <v>6</v>
      </c>
      <c r="M521">
        <v>162</v>
      </c>
      <c r="N521">
        <v>5</v>
      </c>
      <c r="O521" t="s">
        <v>1414</v>
      </c>
      <c r="P521" t="s">
        <v>38</v>
      </c>
      <c r="Q521">
        <v>0</v>
      </c>
      <c r="R521">
        <v>5</v>
      </c>
      <c r="S521" t="s">
        <v>994</v>
      </c>
      <c r="T521" t="s">
        <v>1293</v>
      </c>
      <c r="U521" t="s">
        <v>146</v>
      </c>
      <c r="V521" t="s">
        <v>642</v>
      </c>
      <c r="W521" t="s">
        <v>969</v>
      </c>
      <c r="X521" t="s">
        <v>631</v>
      </c>
      <c r="Y521" t="s">
        <v>45</v>
      </c>
      <c r="Z521">
        <v>20</v>
      </c>
      <c r="AA521">
        <v>6</v>
      </c>
      <c r="AB521" t="s">
        <v>46</v>
      </c>
      <c r="AC521" t="s">
        <v>47</v>
      </c>
      <c r="AD521" t="s">
        <v>1415</v>
      </c>
      <c r="AE521" t="s">
        <v>1416</v>
      </c>
    </row>
    <row r="522" spans="1:31" x14ac:dyDescent="0.2">
      <c r="A522" t="s">
        <v>31</v>
      </c>
      <c r="B522">
        <v>2016</v>
      </c>
      <c r="C522">
        <v>4</v>
      </c>
      <c r="D522" s="1">
        <v>42472</v>
      </c>
      <c r="E522" t="s">
        <v>33</v>
      </c>
      <c r="F522" t="s">
        <v>34</v>
      </c>
      <c r="G522" t="s">
        <v>35</v>
      </c>
      <c r="H522" t="s">
        <v>968</v>
      </c>
      <c r="I522" t="s">
        <v>968</v>
      </c>
      <c r="J522" t="s">
        <v>37</v>
      </c>
      <c r="K522">
        <v>227</v>
      </c>
      <c r="L522">
        <v>4</v>
      </c>
      <c r="M522">
        <v>182</v>
      </c>
      <c r="N522">
        <v>6</v>
      </c>
      <c r="O522" t="s">
        <v>35</v>
      </c>
      <c r="P522" t="s">
        <v>38</v>
      </c>
      <c r="Q522">
        <v>45</v>
      </c>
      <c r="R522">
        <v>0</v>
      </c>
      <c r="S522" t="s">
        <v>300</v>
      </c>
      <c r="T522" t="s">
        <v>40</v>
      </c>
      <c r="U522" t="s">
        <v>312</v>
      </c>
      <c r="V522" t="s">
        <v>939</v>
      </c>
      <c r="W522" t="s">
        <v>463</v>
      </c>
      <c r="X522" t="s">
        <v>1417</v>
      </c>
      <c r="Y522" t="s">
        <v>45</v>
      </c>
      <c r="Z522">
        <v>20</v>
      </c>
      <c r="AA522">
        <v>6</v>
      </c>
      <c r="AB522" t="s">
        <v>46</v>
      </c>
      <c r="AC522" t="s">
        <v>47</v>
      </c>
      <c r="AD522" t="s">
        <v>1418</v>
      </c>
      <c r="AE522" t="s">
        <v>1419</v>
      </c>
    </row>
    <row r="523" spans="1:31" x14ac:dyDescent="0.2">
      <c r="A523" t="s">
        <v>31</v>
      </c>
      <c r="B523">
        <v>2016</v>
      </c>
      <c r="C523">
        <v>5</v>
      </c>
      <c r="D523" s="1">
        <v>42473</v>
      </c>
      <c r="E523" t="s">
        <v>75</v>
      </c>
      <c r="F523" t="s">
        <v>76</v>
      </c>
      <c r="G523" t="s">
        <v>36</v>
      </c>
      <c r="H523" t="s">
        <v>87</v>
      </c>
      <c r="I523" t="s">
        <v>87</v>
      </c>
      <c r="J523" t="s">
        <v>37</v>
      </c>
      <c r="K523">
        <v>187</v>
      </c>
      <c r="L523">
        <v>5</v>
      </c>
      <c r="M523">
        <v>188</v>
      </c>
      <c r="N523">
        <v>4</v>
      </c>
      <c r="O523" t="s">
        <v>87</v>
      </c>
      <c r="P523" t="s">
        <v>38</v>
      </c>
      <c r="Q523">
        <v>0</v>
      </c>
      <c r="R523">
        <v>6</v>
      </c>
      <c r="S523" t="s">
        <v>369</v>
      </c>
      <c r="T523" t="s">
        <v>1279</v>
      </c>
      <c r="U523" t="s">
        <v>989</v>
      </c>
      <c r="V523" t="s">
        <v>111</v>
      </c>
      <c r="W523" t="s">
        <v>105</v>
      </c>
      <c r="X523" t="s">
        <v>1197</v>
      </c>
      <c r="Y523" t="s">
        <v>45</v>
      </c>
      <c r="Z523">
        <v>20</v>
      </c>
      <c r="AA523">
        <v>6</v>
      </c>
      <c r="AB523" t="s">
        <v>46</v>
      </c>
      <c r="AC523" t="s">
        <v>47</v>
      </c>
      <c r="AD523" t="s">
        <v>1420</v>
      </c>
      <c r="AE523" t="s">
        <v>1421</v>
      </c>
    </row>
    <row r="524" spans="1:31" x14ac:dyDescent="0.2">
      <c r="A524" t="s">
        <v>31</v>
      </c>
      <c r="B524">
        <v>2016</v>
      </c>
      <c r="C524">
        <v>6</v>
      </c>
      <c r="D524" s="1">
        <v>42474</v>
      </c>
      <c r="E524" t="s">
        <v>1422</v>
      </c>
      <c r="F524" t="s">
        <v>1423</v>
      </c>
      <c r="G524" t="s">
        <v>1414</v>
      </c>
      <c r="H524" t="s">
        <v>1407</v>
      </c>
      <c r="I524" t="s">
        <v>1407</v>
      </c>
      <c r="J524" t="s">
        <v>54</v>
      </c>
      <c r="K524">
        <v>164</v>
      </c>
      <c r="L524">
        <v>3</v>
      </c>
      <c r="M524">
        <v>163</v>
      </c>
      <c r="N524">
        <v>5</v>
      </c>
      <c r="O524" t="s">
        <v>1414</v>
      </c>
      <c r="P524" t="s">
        <v>38</v>
      </c>
      <c r="Q524">
        <v>0</v>
      </c>
      <c r="R524">
        <v>7</v>
      </c>
      <c r="S524" t="s">
        <v>994</v>
      </c>
      <c r="T524" t="s">
        <v>1293</v>
      </c>
      <c r="U524" t="s">
        <v>642</v>
      </c>
      <c r="V524" t="s">
        <v>158</v>
      </c>
      <c r="W524" t="s">
        <v>1189</v>
      </c>
      <c r="X524" t="s">
        <v>631</v>
      </c>
      <c r="Y524" t="s">
        <v>45</v>
      </c>
      <c r="Z524">
        <v>20</v>
      </c>
      <c r="AA524">
        <v>6</v>
      </c>
      <c r="AB524" t="s">
        <v>46</v>
      </c>
      <c r="AC524" t="s">
        <v>47</v>
      </c>
      <c r="AD524" t="s">
        <v>1424</v>
      </c>
      <c r="AE524" t="s">
        <v>1425</v>
      </c>
    </row>
    <row r="525" spans="1:31" x14ac:dyDescent="0.2">
      <c r="A525" t="s">
        <v>31</v>
      </c>
      <c r="B525">
        <v>2016</v>
      </c>
      <c r="C525">
        <v>7</v>
      </c>
      <c r="D525" s="1">
        <v>42475</v>
      </c>
      <c r="E525" t="s">
        <v>63</v>
      </c>
      <c r="F525" t="s">
        <v>64</v>
      </c>
      <c r="G525" t="s">
        <v>65</v>
      </c>
      <c r="H525" t="s">
        <v>52</v>
      </c>
      <c r="I525" t="s">
        <v>65</v>
      </c>
      <c r="J525" t="s">
        <v>37</v>
      </c>
      <c r="K525">
        <v>113</v>
      </c>
      <c r="L525">
        <v>2</v>
      </c>
      <c r="M525">
        <v>111</v>
      </c>
      <c r="N525">
        <v>9</v>
      </c>
      <c r="O525" t="s">
        <v>65</v>
      </c>
      <c r="P525" t="s">
        <v>38</v>
      </c>
      <c r="Q525">
        <v>0</v>
      </c>
      <c r="R525">
        <v>8</v>
      </c>
      <c r="S525" t="s">
        <v>204</v>
      </c>
      <c r="T525" t="s">
        <v>502</v>
      </c>
      <c r="U525" t="s">
        <v>111</v>
      </c>
      <c r="V525" t="s">
        <v>105</v>
      </c>
      <c r="W525" t="s">
        <v>989</v>
      </c>
      <c r="X525" t="s">
        <v>1197</v>
      </c>
      <c r="Y525" t="s">
        <v>45</v>
      </c>
      <c r="Z525">
        <v>20</v>
      </c>
      <c r="AA525">
        <v>6</v>
      </c>
      <c r="AB525" t="s">
        <v>46</v>
      </c>
      <c r="AC525" t="s">
        <v>47</v>
      </c>
      <c r="AD525" t="s">
        <v>1426</v>
      </c>
      <c r="AE525" t="s">
        <v>1427</v>
      </c>
    </row>
    <row r="526" spans="1:31" x14ac:dyDescent="0.2">
      <c r="A526" t="s">
        <v>31</v>
      </c>
      <c r="B526">
        <v>2016</v>
      </c>
      <c r="C526">
        <v>8</v>
      </c>
      <c r="D526" s="1">
        <v>42476</v>
      </c>
      <c r="E526" t="s">
        <v>101</v>
      </c>
      <c r="F526" t="s">
        <v>102</v>
      </c>
      <c r="G526" t="s">
        <v>968</v>
      </c>
      <c r="H526" t="s">
        <v>36</v>
      </c>
      <c r="I526" t="s">
        <v>968</v>
      </c>
      <c r="J526" t="s">
        <v>54</v>
      </c>
      <c r="K526">
        <v>142</v>
      </c>
      <c r="L526">
        <v>7</v>
      </c>
      <c r="M526">
        <v>146</v>
      </c>
      <c r="N526">
        <v>2</v>
      </c>
      <c r="O526" t="s">
        <v>36</v>
      </c>
      <c r="P526" t="s">
        <v>38</v>
      </c>
      <c r="Q526">
        <v>0</v>
      </c>
      <c r="R526">
        <v>8</v>
      </c>
      <c r="S526" t="s">
        <v>366</v>
      </c>
      <c r="T526" t="s">
        <v>40</v>
      </c>
      <c r="U526" t="s">
        <v>146</v>
      </c>
      <c r="V526" t="s">
        <v>158</v>
      </c>
      <c r="W526" t="s">
        <v>631</v>
      </c>
      <c r="X526" t="s">
        <v>1410</v>
      </c>
      <c r="Y526" t="s">
        <v>45</v>
      </c>
      <c r="Z526">
        <v>20</v>
      </c>
      <c r="AA526">
        <v>6</v>
      </c>
      <c r="AB526" t="s">
        <v>46</v>
      </c>
      <c r="AC526" t="s">
        <v>47</v>
      </c>
      <c r="AD526" t="s">
        <v>1428</v>
      </c>
      <c r="AE526" t="s">
        <v>1429</v>
      </c>
    </row>
    <row r="527" spans="1:31" x14ac:dyDescent="0.2">
      <c r="A527" t="s">
        <v>31</v>
      </c>
      <c r="B527">
        <v>2016</v>
      </c>
      <c r="C527">
        <v>9</v>
      </c>
      <c r="D527" s="1">
        <v>42476</v>
      </c>
      <c r="E527" t="s">
        <v>85</v>
      </c>
      <c r="F527" t="s">
        <v>86</v>
      </c>
      <c r="G527" t="s">
        <v>87</v>
      </c>
      <c r="H527" t="s">
        <v>1414</v>
      </c>
      <c r="I527" t="s">
        <v>1414</v>
      </c>
      <c r="J527" t="s">
        <v>37</v>
      </c>
      <c r="K527">
        <v>143</v>
      </c>
      <c r="L527">
        <v>8</v>
      </c>
      <c r="M527">
        <v>147</v>
      </c>
      <c r="N527">
        <v>7</v>
      </c>
      <c r="O527" t="s">
        <v>1414</v>
      </c>
      <c r="P527" t="s">
        <v>38</v>
      </c>
      <c r="Q527">
        <v>0</v>
      </c>
      <c r="R527">
        <v>3</v>
      </c>
      <c r="S527" t="s">
        <v>994</v>
      </c>
      <c r="T527" t="s">
        <v>1293</v>
      </c>
      <c r="U527" t="s">
        <v>312</v>
      </c>
      <c r="V527" t="s">
        <v>939</v>
      </c>
      <c r="W527" t="s">
        <v>463</v>
      </c>
      <c r="X527" t="s">
        <v>1417</v>
      </c>
      <c r="Y527" t="s">
        <v>45</v>
      </c>
      <c r="Z527">
        <v>20</v>
      </c>
      <c r="AA527">
        <v>6</v>
      </c>
      <c r="AB527" t="s">
        <v>46</v>
      </c>
      <c r="AC527" t="s">
        <v>47</v>
      </c>
      <c r="AD527" t="s">
        <v>1430</v>
      </c>
      <c r="AE527" t="s">
        <v>1431</v>
      </c>
    </row>
    <row r="528" spans="1:31" x14ac:dyDescent="0.2">
      <c r="A528" t="s">
        <v>31</v>
      </c>
      <c r="B528">
        <v>2016</v>
      </c>
      <c r="C528">
        <v>10</v>
      </c>
      <c r="D528" s="1">
        <v>42477</v>
      </c>
      <c r="E528" t="s">
        <v>50</v>
      </c>
      <c r="F528" t="s">
        <v>1413</v>
      </c>
      <c r="G528" t="s">
        <v>52</v>
      </c>
      <c r="H528" t="s">
        <v>1407</v>
      </c>
      <c r="I528" t="s">
        <v>1407</v>
      </c>
      <c r="J528" t="s">
        <v>54</v>
      </c>
      <c r="K528">
        <v>153</v>
      </c>
      <c r="L528">
        <v>4</v>
      </c>
      <c r="M528">
        <v>152</v>
      </c>
      <c r="N528">
        <v>7</v>
      </c>
      <c r="O528" t="s">
        <v>52</v>
      </c>
      <c r="P528" t="s">
        <v>38</v>
      </c>
      <c r="Q528">
        <v>0</v>
      </c>
      <c r="R528">
        <v>6</v>
      </c>
      <c r="S528" t="s">
        <v>976</v>
      </c>
      <c r="T528" t="s">
        <v>1279</v>
      </c>
      <c r="U528" t="s">
        <v>111</v>
      </c>
      <c r="V528" t="s">
        <v>105</v>
      </c>
      <c r="W528" t="s">
        <v>989</v>
      </c>
      <c r="X528" t="s">
        <v>1197</v>
      </c>
      <c r="Y528" t="s">
        <v>45</v>
      </c>
      <c r="Z528">
        <v>20</v>
      </c>
      <c r="AA528">
        <v>6</v>
      </c>
      <c r="AB528" t="s">
        <v>46</v>
      </c>
      <c r="AC528" t="s">
        <v>47</v>
      </c>
      <c r="AD528" t="s">
        <v>1432</v>
      </c>
      <c r="AE528" t="s">
        <v>1433</v>
      </c>
    </row>
    <row r="529" spans="1:31" x14ac:dyDescent="0.2">
      <c r="A529" t="s">
        <v>31</v>
      </c>
      <c r="B529">
        <v>2016</v>
      </c>
      <c r="C529">
        <v>11</v>
      </c>
      <c r="D529" s="1">
        <v>42477</v>
      </c>
      <c r="E529" t="s">
        <v>33</v>
      </c>
      <c r="F529" t="s">
        <v>34</v>
      </c>
      <c r="G529" t="s">
        <v>35</v>
      </c>
      <c r="H529" t="s">
        <v>65</v>
      </c>
      <c r="I529" t="s">
        <v>65</v>
      </c>
      <c r="J529" t="s">
        <v>37</v>
      </c>
      <c r="K529">
        <v>191</v>
      </c>
      <c r="L529">
        <v>5</v>
      </c>
      <c r="M529">
        <v>192</v>
      </c>
      <c r="N529">
        <v>3</v>
      </c>
      <c r="O529" t="s">
        <v>65</v>
      </c>
      <c r="P529" t="s">
        <v>38</v>
      </c>
      <c r="Q529">
        <v>0</v>
      </c>
      <c r="R529">
        <v>7</v>
      </c>
      <c r="S529" t="s">
        <v>1434</v>
      </c>
      <c r="T529" t="s">
        <v>502</v>
      </c>
      <c r="U529" t="s">
        <v>642</v>
      </c>
      <c r="V529" t="s">
        <v>969</v>
      </c>
      <c r="W529" t="s">
        <v>1189</v>
      </c>
      <c r="X529" t="s">
        <v>1193</v>
      </c>
      <c r="Y529" t="s">
        <v>45</v>
      </c>
      <c r="Z529">
        <v>20</v>
      </c>
      <c r="AA529">
        <v>6</v>
      </c>
      <c r="AB529" t="s">
        <v>46</v>
      </c>
      <c r="AC529" t="s">
        <v>47</v>
      </c>
      <c r="AD529" t="s">
        <v>1435</v>
      </c>
      <c r="AE529" t="s">
        <v>1436</v>
      </c>
    </row>
    <row r="530" spans="1:31" x14ac:dyDescent="0.2">
      <c r="A530" t="s">
        <v>31</v>
      </c>
      <c r="B530">
        <v>2016</v>
      </c>
      <c r="C530">
        <v>12</v>
      </c>
      <c r="D530" s="1">
        <v>42478</v>
      </c>
      <c r="E530" t="s">
        <v>101</v>
      </c>
      <c r="F530" t="s">
        <v>102</v>
      </c>
      <c r="G530" t="s">
        <v>968</v>
      </c>
      <c r="H530" t="s">
        <v>87</v>
      </c>
      <c r="I530" t="s">
        <v>968</v>
      </c>
      <c r="J530" t="s">
        <v>37</v>
      </c>
      <c r="K530">
        <v>145</v>
      </c>
      <c r="L530">
        <v>3</v>
      </c>
      <c r="M530">
        <v>142</v>
      </c>
      <c r="N530">
        <v>6</v>
      </c>
      <c r="O530" t="s">
        <v>968</v>
      </c>
      <c r="P530" t="s">
        <v>38</v>
      </c>
      <c r="Q530">
        <v>0</v>
      </c>
      <c r="R530">
        <v>7</v>
      </c>
      <c r="S530" t="s">
        <v>512</v>
      </c>
      <c r="T530" t="s">
        <v>40</v>
      </c>
      <c r="U530" t="s">
        <v>312</v>
      </c>
      <c r="V530" t="s">
        <v>939</v>
      </c>
      <c r="W530" t="s">
        <v>463</v>
      </c>
      <c r="X530" t="s">
        <v>1410</v>
      </c>
      <c r="Y530" t="s">
        <v>45</v>
      </c>
      <c r="Z530">
        <v>20</v>
      </c>
      <c r="AA530">
        <v>6</v>
      </c>
      <c r="AB530" t="s">
        <v>46</v>
      </c>
      <c r="AC530" t="s">
        <v>47</v>
      </c>
      <c r="AD530" t="s">
        <v>1437</v>
      </c>
      <c r="AE530" t="s">
        <v>1438</v>
      </c>
    </row>
    <row r="531" spans="1:31" x14ac:dyDescent="0.2">
      <c r="A531" t="s">
        <v>31</v>
      </c>
      <c r="B531">
        <v>2016</v>
      </c>
      <c r="C531">
        <v>13</v>
      </c>
      <c r="D531" s="1">
        <v>42479</v>
      </c>
      <c r="E531" t="s">
        <v>50</v>
      </c>
      <c r="F531" t="s">
        <v>1413</v>
      </c>
      <c r="G531" t="s">
        <v>52</v>
      </c>
      <c r="H531" t="s">
        <v>36</v>
      </c>
      <c r="I531" t="s">
        <v>36</v>
      </c>
      <c r="J531" t="s">
        <v>37</v>
      </c>
      <c r="K531">
        <v>138</v>
      </c>
      <c r="L531">
        <v>8</v>
      </c>
      <c r="M531">
        <v>141</v>
      </c>
      <c r="N531">
        <v>4</v>
      </c>
      <c r="O531" t="s">
        <v>36</v>
      </c>
      <c r="P531" t="s">
        <v>38</v>
      </c>
      <c r="Q531">
        <v>0</v>
      </c>
      <c r="R531">
        <v>6</v>
      </c>
      <c r="S531" t="s">
        <v>490</v>
      </c>
      <c r="T531" t="s">
        <v>1279</v>
      </c>
      <c r="U531" t="s">
        <v>111</v>
      </c>
      <c r="V531" t="s">
        <v>105</v>
      </c>
      <c r="W531" t="s">
        <v>989</v>
      </c>
      <c r="X531" t="s">
        <v>1417</v>
      </c>
      <c r="Y531" t="s">
        <v>45</v>
      </c>
      <c r="Z531">
        <v>20</v>
      </c>
      <c r="AA531">
        <v>6</v>
      </c>
      <c r="AB531" t="s">
        <v>46</v>
      </c>
      <c r="AC531" t="s">
        <v>47</v>
      </c>
      <c r="AD531" t="s">
        <v>1439</v>
      </c>
      <c r="AE531" t="s">
        <v>1440</v>
      </c>
    </row>
    <row r="532" spans="1:31" x14ac:dyDescent="0.2">
      <c r="A532" t="s">
        <v>31</v>
      </c>
      <c r="B532">
        <v>2016</v>
      </c>
      <c r="C532">
        <v>14</v>
      </c>
      <c r="D532" s="1">
        <v>42480</v>
      </c>
      <c r="E532" t="s">
        <v>85</v>
      </c>
      <c r="F532" t="s">
        <v>86</v>
      </c>
      <c r="G532" t="s">
        <v>87</v>
      </c>
      <c r="H532" t="s">
        <v>35</v>
      </c>
      <c r="I532" t="s">
        <v>87</v>
      </c>
      <c r="J532" t="s">
        <v>37</v>
      </c>
      <c r="K532">
        <v>171</v>
      </c>
      <c r="L532">
        <v>4</v>
      </c>
      <c r="M532">
        <v>170</v>
      </c>
      <c r="N532">
        <v>7</v>
      </c>
      <c r="O532" t="s">
        <v>87</v>
      </c>
      <c r="P532" t="s">
        <v>38</v>
      </c>
      <c r="Q532">
        <v>0</v>
      </c>
      <c r="R532">
        <v>6</v>
      </c>
      <c r="S532" t="s">
        <v>369</v>
      </c>
      <c r="T532" t="s">
        <v>502</v>
      </c>
      <c r="U532" t="s">
        <v>146</v>
      </c>
      <c r="V532" t="s">
        <v>158</v>
      </c>
      <c r="W532" t="s">
        <v>969</v>
      </c>
      <c r="X532" t="s">
        <v>1193</v>
      </c>
      <c r="Y532" t="s">
        <v>45</v>
      </c>
      <c r="Z532">
        <v>20</v>
      </c>
      <c r="AA532">
        <v>6</v>
      </c>
      <c r="AB532" t="s">
        <v>46</v>
      </c>
      <c r="AC532" t="s">
        <v>47</v>
      </c>
      <c r="AD532" t="s">
        <v>1441</v>
      </c>
      <c r="AE532" t="s">
        <v>1442</v>
      </c>
    </row>
    <row r="533" spans="1:31" x14ac:dyDescent="0.2">
      <c r="A533" t="s">
        <v>31</v>
      </c>
      <c r="B533">
        <v>2016</v>
      </c>
      <c r="C533">
        <v>15</v>
      </c>
      <c r="D533" s="1">
        <v>42481</v>
      </c>
      <c r="E533" t="s">
        <v>1422</v>
      </c>
      <c r="F533" t="s">
        <v>1423</v>
      </c>
      <c r="G533" t="s">
        <v>1414</v>
      </c>
      <c r="H533" t="s">
        <v>968</v>
      </c>
      <c r="I533" t="s">
        <v>968</v>
      </c>
      <c r="J533" t="s">
        <v>37</v>
      </c>
      <c r="K533">
        <v>135</v>
      </c>
      <c r="L533">
        <v>8</v>
      </c>
      <c r="M533">
        <v>137</v>
      </c>
      <c r="N533">
        <v>0</v>
      </c>
      <c r="O533" t="s">
        <v>968</v>
      </c>
      <c r="P533" t="s">
        <v>38</v>
      </c>
      <c r="Q533">
        <v>0</v>
      </c>
      <c r="R533">
        <v>10</v>
      </c>
      <c r="S533" t="s">
        <v>1186</v>
      </c>
      <c r="T533" t="s">
        <v>1443</v>
      </c>
      <c r="U533" t="s">
        <v>631</v>
      </c>
      <c r="V533" t="s">
        <v>312</v>
      </c>
      <c r="W533" t="s">
        <v>1189</v>
      </c>
      <c r="X533" t="s">
        <v>1410</v>
      </c>
      <c r="Y533" t="s">
        <v>45</v>
      </c>
      <c r="Z533">
        <v>20</v>
      </c>
      <c r="AA533">
        <v>6</v>
      </c>
      <c r="AB533" t="s">
        <v>46</v>
      </c>
      <c r="AC533" t="s">
        <v>47</v>
      </c>
      <c r="AD533" t="s">
        <v>1444</v>
      </c>
      <c r="AE533" t="s">
        <v>1445</v>
      </c>
    </row>
    <row r="534" spans="1:31" x14ac:dyDescent="0.2">
      <c r="A534" t="s">
        <v>31</v>
      </c>
      <c r="B534">
        <v>2016</v>
      </c>
      <c r="C534">
        <v>16</v>
      </c>
      <c r="D534" s="1">
        <v>42482</v>
      </c>
      <c r="E534" t="s">
        <v>807</v>
      </c>
      <c r="F534" t="s">
        <v>1015</v>
      </c>
      <c r="G534" t="s">
        <v>1407</v>
      </c>
      <c r="H534" t="s">
        <v>35</v>
      </c>
      <c r="I534" t="s">
        <v>1407</v>
      </c>
      <c r="J534" t="s">
        <v>37</v>
      </c>
      <c r="K534">
        <v>172</v>
      </c>
      <c r="L534">
        <v>9</v>
      </c>
      <c r="M534">
        <v>185</v>
      </c>
      <c r="N534">
        <v>3</v>
      </c>
      <c r="O534" t="s">
        <v>35</v>
      </c>
      <c r="P534" t="s">
        <v>38</v>
      </c>
      <c r="Q534">
        <v>13</v>
      </c>
      <c r="R534">
        <v>0</v>
      </c>
      <c r="S534" t="s">
        <v>300</v>
      </c>
      <c r="T534" t="s">
        <v>1293</v>
      </c>
      <c r="U534" t="s">
        <v>1283</v>
      </c>
      <c r="V534" t="s">
        <v>939</v>
      </c>
      <c r="W534" t="s">
        <v>463</v>
      </c>
      <c r="X534" t="s">
        <v>1417</v>
      </c>
      <c r="Y534" t="s">
        <v>45</v>
      </c>
      <c r="Z534">
        <v>20</v>
      </c>
      <c r="AA534">
        <v>6</v>
      </c>
      <c r="AB534" t="s">
        <v>46</v>
      </c>
      <c r="AC534" t="s">
        <v>47</v>
      </c>
      <c r="AD534" t="s">
        <v>1446</v>
      </c>
      <c r="AE534" t="s">
        <v>1447</v>
      </c>
    </row>
    <row r="535" spans="1:31" x14ac:dyDescent="0.2">
      <c r="A535" t="s">
        <v>31</v>
      </c>
      <c r="B535">
        <v>2016</v>
      </c>
      <c r="C535">
        <v>17</v>
      </c>
      <c r="D535" s="1">
        <v>42483</v>
      </c>
      <c r="E535" t="s">
        <v>63</v>
      </c>
      <c r="F535" t="s">
        <v>64</v>
      </c>
      <c r="G535" t="s">
        <v>65</v>
      </c>
      <c r="H535" t="s">
        <v>87</v>
      </c>
      <c r="I535" t="s">
        <v>87</v>
      </c>
      <c r="J535" t="s">
        <v>37</v>
      </c>
      <c r="K535">
        <v>164</v>
      </c>
      <c r="L535">
        <v>4</v>
      </c>
      <c r="M535">
        <v>154</v>
      </c>
      <c r="N535">
        <v>7</v>
      </c>
      <c r="O535" t="s">
        <v>65</v>
      </c>
      <c r="P535" t="s">
        <v>38</v>
      </c>
      <c r="Q535">
        <v>10</v>
      </c>
      <c r="R535">
        <v>0</v>
      </c>
      <c r="S535" t="s">
        <v>1055</v>
      </c>
      <c r="T535" t="s">
        <v>1279</v>
      </c>
      <c r="U535" t="s">
        <v>111</v>
      </c>
      <c r="V535" t="s">
        <v>105</v>
      </c>
      <c r="W535" t="s">
        <v>989</v>
      </c>
      <c r="X535" t="s">
        <v>1197</v>
      </c>
      <c r="Y535" t="s">
        <v>45</v>
      </c>
      <c r="Z535">
        <v>20</v>
      </c>
      <c r="AA535">
        <v>6</v>
      </c>
      <c r="AB535" t="s">
        <v>46</v>
      </c>
      <c r="AC535" t="s">
        <v>47</v>
      </c>
      <c r="AD535" t="s">
        <v>1448</v>
      </c>
      <c r="AE535" t="s">
        <v>1449</v>
      </c>
    </row>
    <row r="536" spans="1:31" x14ac:dyDescent="0.2">
      <c r="A536" t="s">
        <v>31</v>
      </c>
      <c r="B536">
        <v>2016</v>
      </c>
      <c r="C536">
        <v>18</v>
      </c>
      <c r="D536" s="1">
        <v>42483</v>
      </c>
      <c r="E536" t="s">
        <v>101</v>
      </c>
      <c r="F536" t="s">
        <v>102</v>
      </c>
      <c r="G536" t="s">
        <v>968</v>
      </c>
      <c r="H536" t="s">
        <v>52</v>
      </c>
      <c r="I536" t="s">
        <v>968</v>
      </c>
      <c r="J536" t="s">
        <v>37</v>
      </c>
      <c r="K536">
        <v>146</v>
      </c>
      <c r="L536">
        <v>5</v>
      </c>
      <c r="M536">
        <v>143</v>
      </c>
      <c r="N536">
        <v>6</v>
      </c>
      <c r="O536" t="s">
        <v>968</v>
      </c>
      <c r="P536" t="s">
        <v>38</v>
      </c>
      <c r="Q536">
        <v>0</v>
      </c>
      <c r="R536">
        <v>5</v>
      </c>
      <c r="S536" t="s">
        <v>1450</v>
      </c>
      <c r="T536" t="s">
        <v>502</v>
      </c>
      <c r="U536" t="s">
        <v>146</v>
      </c>
      <c r="V536" t="s">
        <v>158</v>
      </c>
      <c r="W536" t="s">
        <v>1189</v>
      </c>
      <c r="X536" t="s">
        <v>1193</v>
      </c>
      <c r="Y536" t="s">
        <v>45</v>
      </c>
      <c r="Z536">
        <v>20</v>
      </c>
      <c r="AA536">
        <v>6</v>
      </c>
      <c r="AB536" t="s">
        <v>46</v>
      </c>
      <c r="AC536" t="s">
        <v>47</v>
      </c>
      <c r="AD536" t="s">
        <v>1451</v>
      </c>
      <c r="AE536" t="s">
        <v>1452</v>
      </c>
    </row>
    <row r="537" spans="1:31" x14ac:dyDescent="0.2">
      <c r="A537" t="s">
        <v>31</v>
      </c>
      <c r="B537">
        <v>2016</v>
      </c>
      <c r="C537">
        <v>19</v>
      </c>
      <c r="D537" s="1">
        <v>42484</v>
      </c>
      <c r="E537" t="s">
        <v>1422</v>
      </c>
      <c r="F537" t="s">
        <v>1423</v>
      </c>
      <c r="G537" t="s">
        <v>1414</v>
      </c>
      <c r="H537" t="s">
        <v>35</v>
      </c>
      <c r="I537" t="s">
        <v>35</v>
      </c>
      <c r="J537" t="s">
        <v>54</v>
      </c>
      <c r="K537">
        <v>182</v>
      </c>
      <c r="L537">
        <v>4</v>
      </c>
      <c r="M537">
        <v>180</v>
      </c>
      <c r="N537">
        <v>2</v>
      </c>
      <c r="O537" t="s">
        <v>1414</v>
      </c>
      <c r="P537" t="s">
        <v>38</v>
      </c>
      <c r="Q537">
        <v>0</v>
      </c>
      <c r="R537">
        <v>6</v>
      </c>
      <c r="S537" t="s">
        <v>678</v>
      </c>
      <c r="T537" t="s">
        <v>1443</v>
      </c>
      <c r="U537" t="s">
        <v>631</v>
      </c>
      <c r="V537" t="s">
        <v>819</v>
      </c>
      <c r="W537" t="s">
        <v>463</v>
      </c>
      <c r="X537" t="s">
        <v>1410</v>
      </c>
      <c r="Y537" t="s">
        <v>45</v>
      </c>
      <c r="Z537">
        <v>20</v>
      </c>
      <c r="AA537">
        <v>6</v>
      </c>
      <c r="AB537" t="s">
        <v>46</v>
      </c>
      <c r="AC537" t="s">
        <v>47</v>
      </c>
      <c r="AD537" t="s">
        <v>1453</v>
      </c>
      <c r="AE537" t="s">
        <v>1454</v>
      </c>
    </row>
    <row r="538" spans="1:31" x14ac:dyDescent="0.2">
      <c r="A538" t="s">
        <v>31</v>
      </c>
      <c r="B538">
        <v>2016</v>
      </c>
      <c r="C538">
        <v>20</v>
      </c>
      <c r="D538" s="1">
        <v>42484</v>
      </c>
      <c r="E538" t="s">
        <v>807</v>
      </c>
      <c r="F538" t="s">
        <v>1015</v>
      </c>
      <c r="G538" t="s">
        <v>1407</v>
      </c>
      <c r="H538" t="s">
        <v>36</v>
      </c>
      <c r="I538" t="s">
        <v>36</v>
      </c>
      <c r="J538" t="s">
        <v>37</v>
      </c>
      <c r="K538">
        <v>160</v>
      </c>
      <c r="L538">
        <v>5</v>
      </c>
      <c r="M538">
        <v>162</v>
      </c>
      <c r="N538">
        <v>8</v>
      </c>
      <c r="O538" t="s">
        <v>36</v>
      </c>
      <c r="P538" t="s">
        <v>38</v>
      </c>
      <c r="Q538">
        <v>0</v>
      </c>
      <c r="R538">
        <v>2</v>
      </c>
      <c r="S538" t="s">
        <v>1455</v>
      </c>
      <c r="T538" t="s">
        <v>1293</v>
      </c>
      <c r="U538" t="s">
        <v>1283</v>
      </c>
      <c r="V538" t="s">
        <v>969</v>
      </c>
      <c r="W538" t="s">
        <v>939</v>
      </c>
      <c r="X538" t="s">
        <v>1417</v>
      </c>
      <c r="Y538" t="s">
        <v>45</v>
      </c>
      <c r="Z538">
        <v>20</v>
      </c>
      <c r="AA538">
        <v>6</v>
      </c>
      <c r="AB538" t="s">
        <v>46</v>
      </c>
      <c r="AC538" t="s">
        <v>47</v>
      </c>
      <c r="AD538" t="s">
        <v>1456</v>
      </c>
      <c r="AE538" t="s">
        <v>1457</v>
      </c>
    </row>
    <row r="539" spans="1:31" x14ac:dyDescent="0.2">
      <c r="A539" t="s">
        <v>31</v>
      </c>
      <c r="B539">
        <v>2016</v>
      </c>
      <c r="C539">
        <v>21</v>
      </c>
      <c r="D539" s="1">
        <v>42485</v>
      </c>
      <c r="E539" t="s">
        <v>50</v>
      </c>
      <c r="F539" t="s">
        <v>1413</v>
      </c>
      <c r="G539" t="s">
        <v>52</v>
      </c>
      <c r="H539" t="s">
        <v>87</v>
      </c>
      <c r="I539" t="s">
        <v>52</v>
      </c>
      <c r="J539" t="s">
        <v>37</v>
      </c>
      <c r="K539">
        <v>164</v>
      </c>
      <c r="L539">
        <v>7</v>
      </c>
      <c r="M539">
        <v>189</v>
      </c>
      <c r="N539">
        <v>6</v>
      </c>
      <c r="O539" t="s">
        <v>87</v>
      </c>
      <c r="P539" t="s">
        <v>38</v>
      </c>
      <c r="Q539">
        <v>25</v>
      </c>
      <c r="R539">
        <v>0</v>
      </c>
      <c r="S539" t="s">
        <v>1096</v>
      </c>
      <c r="T539" t="s">
        <v>783</v>
      </c>
      <c r="U539" t="s">
        <v>989</v>
      </c>
      <c r="V539" t="s">
        <v>656</v>
      </c>
      <c r="W539" t="s">
        <v>105</v>
      </c>
      <c r="X539" t="s">
        <v>1197</v>
      </c>
      <c r="Y539" t="s">
        <v>45</v>
      </c>
      <c r="Z539">
        <v>20</v>
      </c>
      <c r="AA539">
        <v>6</v>
      </c>
      <c r="AB539" t="s">
        <v>46</v>
      </c>
      <c r="AC539" t="s">
        <v>47</v>
      </c>
      <c r="AD539" t="s">
        <v>1458</v>
      </c>
      <c r="AE539" t="s">
        <v>1459</v>
      </c>
    </row>
    <row r="540" spans="1:31" x14ac:dyDescent="0.2">
      <c r="A540" t="s">
        <v>31</v>
      </c>
      <c r="B540">
        <v>2016</v>
      </c>
      <c r="C540">
        <v>22</v>
      </c>
      <c r="D540" s="1">
        <v>42486</v>
      </c>
      <c r="E540" t="s">
        <v>101</v>
      </c>
      <c r="F540" t="s">
        <v>102</v>
      </c>
      <c r="G540" t="s">
        <v>968</v>
      </c>
      <c r="H540" t="s">
        <v>1407</v>
      </c>
      <c r="I540" t="s">
        <v>1407</v>
      </c>
      <c r="J540" t="s">
        <v>37</v>
      </c>
      <c r="K540">
        <v>118</v>
      </c>
      <c r="L540">
        <v>8</v>
      </c>
      <c r="M540">
        <v>94</v>
      </c>
      <c r="N540">
        <v>3</v>
      </c>
      <c r="O540" t="s">
        <v>1407</v>
      </c>
      <c r="P540" t="s">
        <v>38</v>
      </c>
      <c r="Q540">
        <v>34</v>
      </c>
      <c r="R540">
        <v>0</v>
      </c>
      <c r="S540" t="s">
        <v>1460</v>
      </c>
      <c r="T540" t="s">
        <v>1461</v>
      </c>
      <c r="U540" t="s">
        <v>1189</v>
      </c>
      <c r="V540" t="s">
        <v>158</v>
      </c>
      <c r="W540" t="s">
        <v>312</v>
      </c>
      <c r="X540" t="s">
        <v>1417</v>
      </c>
      <c r="Y540" t="s">
        <v>45</v>
      </c>
      <c r="Z540">
        <v>20</v>
      </c>
      <c r="AA540">
        <v>6</v>
      </c>
      <c r="AB540" t="s">
        <v>46</v>
      </c>
      <c r="AC540" t="s">
        <v>47</v>
      </c>
      <c r="AD540" t="s">
        <v>1462</v>
      </c>
      <c r="AE540" t="s">
        <v>1463</v>
      </c>
    </row>
    <row r="541" spans="1:31" x14ac:dyDescent="0.2">
      <c r="A541" t="s">
        <v>31</v>
      </c>
      <c r="B541">
        <v>2016</v>
      </c>
      <c r="C541">
        <v>23</v>
      </c>
      <c r="D541" s="1">
        <v>42487</v>
      </c>
      <c r="E541" t="s">
        <v>63</v>
      </c>
      <c r="F541" t="s">
        <v>64</v>
      </c>
      <c r="G541" t="s">
        <v>65</v>
      </c>
      <c r="H541" t="s">
        <v>1414</v>
      </c>
      <c r="I541" t="s">
        <v>65</v>
      </c>
      <c r="J541" t="s">
        <v>37</v>
      </c>
      <c r="K541">
        <v>171</v>
      </c>
      <c r="L541">
        <v>5</v>
      </c>
      <c r="M541">
        <v>172</v>
      </c>
      <c r="N541">
        <v>6</v>
      </c>
      <c r="O541" t="s">
        <v>1414</v>
      </c>
      <c r="P541" t="s">
        <v>38</v>
      </c>
      <c r="Q541">
        <v>1</v>
      </c>
      <c r="R541">
        <v>0</v>
      </c>
      <c r="S541" t="s">
        <v>1464</v>
      </c>
      <c r="T541" t="s">
        <v>40</v>
      </c>
      <c r="U541" t="s">
        <v>297</v>
      </c>
      <c r="V541" t="s">
        <v>111</v>
      </c>
      <c r="W541" t="s">
        <v>146</v>
      </c>
      <c r="X541" t="s">
        <v>1410</v>
      </c>
      <c r="Y541" t="s">
        <v>45</v>
      </c>
      <c r="Z541">
        <v>20</v>
      </c>
      <c r="AA541">
        <v>6</v>
      </c>
      <c r="AB541" t="s">
        <v>46</v>
      </c>
      <c r="AC541" t="s">
        <v>47</v>
      </c>
      <c r="AD541" t="s">
        <v>1465</v>
      </c>
      <c r="AE541" t="s">
        <v>1466</v>
      </c>
    </row>
    <row r="542" spans="1:31" x14ac:dyDescent="0.2">
      <c r="A542" t="s">
        <v>31</v>
      </c>
      <c r="B542">
        <v>2016</v>
      </c>
      <c r="C542">
        <v>24</v>
      </c>
      <c r="D542" s="1">
        <v>42488</v>
      </c>
      <c r="E542" t="s">
        <v>85</v>
      </c>
      <c r="F542" t="s">
        <v>86</v>
      </c>
      <c r="G542" t="s">
        <v>87</v>
      </c>
      <c r="H542" t="s">
        <v>36</v>
      </c>
      <c r="I542" t="s">
        <v>87</v>
      </c>
      <c r="J542" t="s">
        <v>37</v>
      </c>
      <c r="K542">
        <v>178</v>
      </c>
      <c r="L542">
        <v>4</v>
      </c>
      <c r="M542">
        <v>174</v>
      </c>
      <c r="N542">
        <v>5</v>
      </c>
      <c r="O542" t="s">
        <v>87</v>
      </c>
      <c r="P542" t="s">
        <v>38</v>
      </c>
      <c r="Q542">
        <v>0</v>
      </c>
      <c r="R542">
        <v>6</v>
      </c>
      <c r="S542" t="s">
        <v>369</v>
      </c>
      <c r="T542" t="s">
        <v>783</v>
      </c>
      <c r="U542" t="s">
        <v>989</v>
      </c>
      <c r="V542" t="s">
        <v>656</v>
      </c>
      <c r="W542" t="s">
        <v>105</v>
      </c>
      <c r="X542" t="s">
        <v>1197</v>
      </c>
      <c r="Y542" t="s">
        <v>45</v>
      </c>
      <c r="Z542">
        <v>20</v>
      </c>
      <c r="AA542">
        <v>6</v>
      </c>
      <c r="AB542" t="s">
        <v>46</v>
      </c>
      <c r="AC542" t="s">
        <v>47</v>
      </c>
      <c r="AD542" t="s">
        <v>1467</v>
      </c>
      <c r="AE542" t="s">
        <v>1468</v>
      </c>
    </row>
    <row r="543" spans="1:31" x14ac:dyDescent="0.2">
      <c r="A543" t="s">
        <v>31</v>
      </c>
      <c r="B543">
        <v>2016</v>
      </c>
      <c r="C543">
        <v>25</v>
      </c>
      <c r="D543" s="1">
        <v>42489</v>
      </c>
      <c r="E543" t="s">
        <v>807</v>
      </c>
      <c r="F543" t="s">
        <v>1015</v>
      </c>
      <c r="G543" t="s">
        <v>1407</v>
      </c>
      <c r="H543" t="s">
        <v>1414</v>
      </c>
      <c r="I543" t="s">
        <v>1414</v>
      </c>
      <c r="J543" t="s">
        <v>37</v>
      </c>
      <c r="K543">
        <v>195</v>
      </c>
      <c r="L543">
        <v>3</v>
      </c>
      <c r="M543">
        <v>196</v>
      </c>
      <c r="N543">
        <v>7</v>
      </c>
      <c r="O543" t="s">
        <v>1414</v>
      </c>
      <c r="P543" t="s">
        <v>38</v>
      </c>
      <c r="Q543">
        <v>0</v>
      </c>
      <c r="R543">
        <v>3</v>
      </c>
      <c r="S543" t="s">
        <v>388</v>
      </c>
      <c r="T543" t="s">
        <v>1293</v>
      </c>
      <c r="U543" t="s">
        <v>1283</v>
      </c>
      <c r="V543" t="s">
        <v>819</v>
      </c>
      <c r="W543" t="s">
        <v>969</v>
      </c>
      <c r="X543" t="s">
        <v>939</v>
      </c>
      <c r="Y543" t="s">
        <v>45</v>
      </c>
      <c r="Z543">
        <v>20</v>
      </c>
      <c r="AA543">
        <v>6</v>
      </c>
      <c r="AB543" t="s">
        <v>46</v>
      </c>
      <c r="AC543" t="s">
        <v>47</v>
      </c>
      <c r="AD543" t="s">
        <v>1469</v>
      </c>
      <c r="AE543" t="s">
        <v>1470</v>
      </c>
    </row>
    <row r="544" spans="1:31" x14ac:dyDescent="0.2">
      <c r="A544" t="s">
        <v>31</v>
      </c>
      <c r="B544">
        <v>2016</v>
      </c>
      <c r="C544">
        <v>26</v>
      </c>
      <c r="D544" s="1">
        <v>42490</v>
      </c>
      <c r="E544" t="s">
        <v>63</v>
      </c>
      <c r="F544" t="s">
        <v>64</v>
      </c>
      <c r="G544" t="s">
        <v>65</v>
      </c>
      <c r="H544" t="s">
        <v>36</v>
      </c>
      <c r="I544" t="s">
        <v>36</v>
      </c>
      <c r="J544" t="s">
        <v>37</v>
      </c>
      <c r="K544">
        <v>186</v>
      </c>
      <c r="L544">
        <v>8</v>
      </c>
      <c r="M544">
        <v>159</v>
      </c>
      <c r="N544">
        <v>10</v>
      </c>
      <c r="O544" t="s">
        <v>65</v>
      </c>
      <c r="P544" t="s">
        <v>38</v>
      </c>
      <c r="Q544">
        <v>27</v>
      </c>
      <c r="R544">
        <v>0</v>
      </c>
      <c r="S544" t="s">
        <v>1471</v>
      </c>
      <c r="T544" t="s">
        <v>40</v>
      </c>
      <c r="U544" t="s">
        <v>463</v>
      </c>
      <c r="V544" t="s">
        <v>297</v>
      </c>
      <c r="W544" t="s">
        <v>111</v>
      </c>
      <c r="X544" t="s">
        <v>1410</v>
      </c>
      <c r="Y544" t="s">
        <v>45</v>
      </c>
      <c r="Z544">
        <v>20</v>
      </c>
      <c r="AA544">
        <v>6</v>
      </c>
      <c r="AB544" t="s">
        <v>46</v>
      </c>
      <c r="AC544" t="s">
        <v>47</v>
      </c>
      <c r="AD544" t="s">
        <v>1472</v>
      </c>
      <c r="AE544" t="s">
        <v>1473</v>
      </c>
    </row>
    <row r="545" spans="1:31" x14ac:dyDescent="0.2">
      <c r="A545" t="s">
        <v>31</v>
      </c>
      <c r="B545">
        <v>2016</v>
      </c>
      <c r="C545">
        <v>27</v>
      </c>
      <c r="D545" s="1">
        <v>42490</v>
      </c>
      <c r="E545" t="s">
        <v>101</v>
      </c>
      <c r="F545" t="s">
        <v>102</v>
      </c>
      <c r="G545" t="s">
        <v>968</v>
      </c>
      <c r="H545" t="s">
        <v>35</v>
      </c>
      <c r="I545" t="s">
        <v>35</v>
      </c>
      <c r="J545" t="s">
        <v>37</v>
      </c>
      <c r="K545">
        <v>194</v>
      </c>
      <c r="L545">
        <v>5</v>
      </c>
      <c r="M545">
        <v>179</v>
      </c>
      <c r="N545">
        <v>6</v>
      </c>
      <c r="O545" t="s">
        <v>968</v>
      </c>
      <c r="P545" t="s">
        <v>38</v>
      </c>
      <c r="Q545">
        <v>15</v>
      </c>
      <c r="R545">
        <v>0</v>
      </c>
      <c r="S545" t="s">
        <v>512</v>
      </c>
      <c r="T545" t="s">
        <v>502</v>
      </c>
      <c r="U545" t="s">
        <v>146</v>
      </c>
      <c r="V545" t="s">
        <v>312</v>
      </c>
      <c r="W545" t="s">
        <v>158</v>
      </c>
      <c r="X545" t="s">
        <v>1193</v>
      </c>
      <c r="Y545" t="s">
        <v>45</v>
      </c>
      <c r="Z545">
        <v>20</v>
      </c>
      <c r="AA545">
        <v>6</v>
      </c>
      <c r="AB545" t="s">
        <v>46</v>
      </c>
      <c r="AC545" t="s">
        <v>47</v>
      </c>
      <c r="AD545" t="s">
        <v>1474</v>
      </c>
      <c r="AE545" t="s">
        <v>1475</v>
      </c>
    </row>
    <row r="546" spans="1:31" x14ac:dyDescent="0.2">
      <c r="A546" t="s">
        <v>31</v>
      </c>
      <c r="B546">
        <v>2016</v>
      </c>
      <c r="C546">
        <v>28</v>
      </c>
      <c r="D546" s="1">
        <v>42491</v>
      </c>
      <c r="E546" t="s">
        <v>1422</v>
      </c>
      <c r="F546" t="s">
        <v>1423</v>
      </c>
      <c r="G546" t="s">
        <v>1414</v>
      </c>
      <c r="H546" t="s">
        <v>52</v>
      </c>
      <c r="I546" t="s">
        <v>1414</v>
      </c>
      <c r="J546" t="s">
        <v>37</v>
      </c>
      <c r="K546">
        <v>131</v>
      </c>
      <c r="L546">
        <v>9</v>
      </c>
      <c r="M546">
        <v>154</v>
      </c>
      <c r="N546">
        <v>10</v>
      </c>
      <c r="O546" t="s">
        <v>52</v>
      </c>
      <c r="P546" t="s">
        <v>38</v>
      </c>
      <c r="Q546">
        <v>23</v>
      </c>
      <c r="R546">
        <v>0</v>
      </c>
      <c r="S546" t="s">
        <v>1243</v>
      </c>
      <c r="T546" t="s">
        <v>1279</v>
      </c>
      <c r="U546" t="s">
        <v>819</v>
      </c>
      <c r="V546" t="s">
        <v>939</v>
      </c>
      <c r="W546" t="s">
        <v>1283</v>
      </c>
      <c r="X546" t="s">
        <v>1417</v>
      </c>
      <c r="Y546" t="s">
        <v>45</v>
      </c>
      <c r="Z546">
        <v>20</v>
      </c>
      <c r="AA546">
        <v>6</v>
      </c>
      <c r="AB546" t="s">
        <v>46</v>
      </c>
      <c r="AC546" t="s">
        <v>47</v>
      </c>
      <c r="AD546" t="s">
        <v>1476</v>
      </c>
      <c r="AE546" t="s">
        <v>1477</v>
      </c>
    </row>
    <row r="547" spans="1:31" x14ac:dyDescent="0.2">
      <c r="A547" t="s">
        <v>31</v>
      </c>
      <c r="B547">
        <v>2016</v>
      </c>
      <c r="C547">
        <v>29</v>
      </c>
      <c r="D547" s="1">
        <v>42491</v>
      </c>
      <c r="E547" t="s">
        <v>807</v>
      </c>
      <c r="F547" t="s">
        <v>1015</v>
      </c>
      <c r="G547" t="s">
        <v>1407</v>
      </c>
      <c r="H547" t="s">
        <v>87</v>
      </c>
      <c r="I547" t="s">
        <v>87</v>
      </c>
      <c r="J547" t="s">
        <v>37</v>
      </c>
      <c r="K547">
        <v>159</v>
      </c>
      <c r="L547">
        <v>5</v>
      </c>
      <c r="M547">
        <v>161</v>
      </c>
      <c r="N547">
        <v>2</v>
      </c>
      <c r="O547" t="s">
        <v>87</v>
      </c>
      <c r="P547" t="s">
        <v>38</v>
      </c>
      <c r="Q547">
        <v>0</v>
      </c>
      <c r="R547">
        <v>8</v>
      </c>
      <c r="S547" t="s">
        <v>369</v>
      </c>
      <c r="T547" t="s">
        <v>783</v>
      </c>
      <c r="U547" t="s">
        <v>1189</v>
      </c>
      <c r="V547" t="s">
        <v>656</v>
      </c>
      <c r="W547" t="s">
        <v>989</v>
      </c>
      <c r="X547" t="s">
        <v>1197</v>
      </c>
      <c r="Y547" t="s">
        <v>45</v>
      </c>
      <c r="Z547">
        <v>20</v>
      </c>
      <c r="AA547">
        <v>6</v>
      </c>
      <c r="AB547" t="s">
        <v>46</v>
      </c>
      <c r="AC547" t="s">
        <v>47</v>
      </c>
      <c r="AD547" t="s">
        <v>1478</v>
      </c>
      <c r="AE547" t="s">
        <v>1479</v>
      </c>
    </row>
    <row r="548" spans="1:31" x14ac:dyDescent="0.2">
      <c r="A548" t="s">
        <v>31</v>
      </c>
      <c r="B548">
        <v>2016</v>
      </c>
      <c r="C548">
        <v>30</v>
      </c>
      <c r="D548" s="1">
        <v>42492</v>
      </c>
      <c r="E548" t="s">
        <v>33</v>
      </c>
      <c r="F548" t="s">
        <v>34</v>
      </c>
      <c r="G548" t="s">
        <v>35</v>
      </c>
      <c r="H548" t="s">
        <v>36</v>
      </c>
      <c r="I548" t="s">
        <v>36</v>
      </c>
      <c r="J548" t="s">
        <v>37</v>
      </c>
      <c r="K548">
        <v>185</v>
      </c>
      <c r="L548">
        <v>7</v>
      </c>
      <c r="M548">
        <v>189</v>
      </c>
      <c r="N548">
        <v>5</v>
      </c>
      <c r="O548" t="s">
        <v>36</v>
      </c>
      <c r="P548" t="s">
        <v>38</v>
      </c>
      <c r="Q548">
        <v>0</v>
      </c>
      <c r="R548">
        <v>5</v>
      </c>
      <c r="S548" t="s">
        <v>1308</v>
      </c>
      <c r="T548" t="s">
        <v>40</v>
      </c>
      <c r="U548" t="s">
        <v>297</v>
      </c>
      <c r="V548" t="s">
        <v>111</v>
      </c>
      <c r="W548" t="s">
        <v>631</v>
      </c>
      <c r="X548" t="s">
        <v>1410</v>
      </c>
      <c r="Y548" t="s">
        <v>45</v>
      </c>
      <c r="Z548">
        <v>20</v>
      </c>
      <c r="AA548">
        <v>6</v>
      </c>
      <c r="AB548" t="s">
        <v>46</v>
      </c>
      <c r="AC548" t="s">
        <v>47</v>
      </c>
      <c r="AD548" t="s">
        <v>1480</v>
      </c>
      <c r="AE548" t="s">
        <v>1481</v>
      </c>
    </row>
    <row r="549" spans="1:31" x14ac:dyDescent="0.2">
      <c r="A549" t="s">
        <v>31</v>
      </c>
      <c r="B549">
        <v>2016</v>
      </c>
      <c r="C549">
        <v>31</v>
      </c>
      <c r="D549" s="1">
        <v>42493</v>
      </c>
      <c r="E549" t="s">
        <v>1422</v>
      </c>
      <c r="F549" t="s">
        <v>1423</v>
      </c>
      <c r="G549" t="s">
        <v>1414</v>
      </c>
      <c r="H549" t="s">
        <v>65</v>
      </c>
      <c r="I549" t="s">
        <v>65</v>
      </c>
      <c r="J549" t="s">
        <v>37</v>
      </c>
      <c r="K549">
        <v>149</v>
      </c>
      <c r="L549">
        <v>7</v>
      </c>
      <c r="M549">
        <v>150</v>
      </c>
      <c r="N549">
        <v>2</v>
      </c>
      <c r="O549" t="s">
        <v>65</v>
      </c>
      <c r="P549" t="s">
        <v>38</v>
      </c>
      <c r="Q549">
        <v>0</v>
      </c>
      <c r="R549">
        <v>8</v>
      </c>
      <c r="S549" t="s">
        <v>1482</v>
      </c>
      <c r="T549" t="s">
        <v>1279</v>
      </c>
      <c r="U549" t="s">
        <v>1283</v>
      </c>
      <c r="V549" t="s">
        <v>819</v>
      </c>
      <c r="W549" t="s">
        <v>969</v>
      </c>
      <c r="X549" t="s">
        <v>1417</v>
      </c>
      <c r="Y549" t="s">
        <v>45</v>
      </c>
      <c r="Z549">
        <v>20</v>
      </c>
      <c r="AA549">
        <v>6</v>
      </c>
      <c r="AB549" t="s">
        <v>46</v>
      </c>
      <c r="AC549" t="s">
        <v>47</v>
      </c>
      <c r="AD549" t="s">
        <v>1483</v>
      </c>
      <c r="AE549" t="s">
        <v>1484</v>
      </c>
    </row>
    <row r="550" spans="1:31" x14ac:dyDescent="0.2">
      <c r="A550" t="s">
        <v>31</v>
      </c>
      <c r="B550">
        <v>2016</v>
      </c>
      <c r="C550">
        <v>32</v>
      </c>
      <c r="D550" s="1">
        <v>42494</v>
      </c>
      <c r="E550" t="s">
        <v>75</v>
      </c>
      <c r="F550" t="s">
        <v>76</v>
      </c>
      <c r="G550" t="s">
        <v>36</v>
      </c>
      <c r="H550" t="s">
        <v>52</v>
      </c>
      <c r="I550" t="s">
        <v>52</v>
      </c>
      <c r="J550" t="s">
        <v>37</v>
      </c>
      <c r="K550">
        <v>164</v>
      </c>
      <c r="L550">
        <v>3</v>
      </c>
      <c r="M550">
        <v>157</v>
      </c>
      <c r="N550">
        <v>9</v>
      </c>
      <c r="O550" t="s">
        <v>36</v>
      </c>
      <c r="P550" t="s">
        <v>38</v>
      </c>
      <c r="Q550">
        <v>7</v>
      </c>
      <c r="R550">
        <v>0</v>
      </c>
      <c r="S550" t="s">
        <v>1308</v>
      </c>
      <c r="T550" t="s">
        <v>1461</v>
      </c>
      <c r="U550" t="s">
        <v>146</v>
      </c>
      <c r="V550" t="s">
        <v>312</v>
      </c>
      <c r="W550" t="s">
        <v>158</v>
      </c>
      <c r="X550" t="s">
        <v>1193</v>
      </c>
      <c r="Y550" t="s">
        <v>45</v>
      </c>
      <c r="Z550">
        <v>20</v>
      </c>
      <c r="AA550">
        <v>6</v>
      </c>
      <c r="AB550" t="s">
        <v>46</v>
      </c>
      <c r="AC550" t="s">
        <v>47</v>
      </c>
      <c r="AD550" t="s">
        <v>1485</v>
      </c>
      <c r="AE550" t="s">
        <v>1486</v>
      </c>
    </row>
    <row r="551" spans="1:31" x14ac:dyDescent="0.2">
      <c r="A551" t="s">
        <v>31</v>
      </c>
      <c r="B551">
        <v>2016</v>
      </c>
      <c r="C551">
        <v>33</v>
      </c>
      <c r="D551" s="1">
        <v>42495</v>
      </c>
      <c r="E551" t="s">
        <v>63</v>
      </c>
      <c r="F551" t="s">
        <v>64</v>
      </c>
      <c r="G551" t="s">
        <v>65</v>
      </c>
      <c r="H551" t="s">
        <v>1407</v>
      </c>
      <c r="I551" t="s">
        <v>1407</v>
      </c>
      <c r="J551" t="s">
        <v>37</v>
      </c>
      <c r="K551">
        <v>162</v>
      </c>
      <c r="L551">
        <v>7</v>
      </c>
      <c r="M551">
        <v>166</v>
      </c>
      <c r="N551">
        <v>3</v>
      </c>
      <c r="O551" t="s">
        <v>1407</v>
      </c>
      <c r="P551" t="s">
        <v>38</v>
      </c>
      <c r="Q551">
        <v>0</v>
      </c>
      <c r="R551">
        <v>7</v>
      </c>
      <c r="S551" t="s">
        <v>794</v>
      </c>
      <c r="T551" t="s">
        <v>783</v>
      </c>
      <c r="U551" t="s">
        <v>105</v>
      </c>
      <c r="V551" t="s">
        <v>656</v>
      </c>
      <c r="W551" t="s">
        <v>1189</v>
      </c>
      <c r="X551" t="s">
        <v>1197</v>
      </c>
      <c r="Y551" t="s">
        <v>45</v>
      </c>
      <c r="Z551">
        <v>20</v>
      </c>
      <c r="AA551">
        <v>6</v>
      </c>
      <c r="AB551" t="s">
        <v>46</v>
      </c>
      <c r="AC551" t="s">
        <v>47</v>
      </c>
      <c r="AD551" t="s">
        <v>1487</v>
      </c>
      <c r="AE551" t="s">
        <v>1488</v>
      </c>
    </row>
    <row r="552" spans="1:31" x14ac:dyDescent="0.2">
      <c r="A552" t="s">
        <v>31</v>
      </c>
      <c r="B552">
        <v>2016</v>
      </c>
      <c r="C552">
        <v>34</v>
      </c>
      <c r="D552" s="1">
        <v>42496</v>
      </c>
      <c r="E552" t="s">
        <v>101</v>
      </c>
      <c r="F552" t="s">
        <v>102</v>
      </c>
      <c r="G552" t="s">
        <v>968</v>
      </c>
      <c r="H552" t="s">
        <v>1414</v>
      </c>
      <c r="I552" t="s">
        <v>968</v>
      </c>
      <c r="J552" t="s">
        <v>37</v>
      </c>
      <c r="K552">
        <v>129</v>
      </c>
      <c r="L552">
        <v>5</v>
      </c>
      <c r="M552">
        <v>126</v>
      </c>
      <c r="N552">
        <v>6</v>
      </c>
      <c r="O552" t="s">
        <v>968</v>
      </c>
      <c r="P552" t="s">
        <v>38</v>
      </c>
      <c r="Q552">
        <v>0</v>
      </c>
      <c r="R552">
        <v>5</v>
      </c>
      <c r="S552" t="s">
        <v>1186</v>
      </c>
      <c r="T552" t="s">
        <v>40</v>
      </c>
      <c r="U552" t="s">
        <v>297</v>
      </c>
      <c r="V552" t="s">
        <v>111</v>
      </c>
      <c r="W552" t="s">
        <v>463</v>
      </c>
      <c r="X552" t="s">
        <v>1410</v>
      </c>
      <c r="Y552" t="s">
        <v>45</v>
      </c>
      <c r="Z552">
        <v>20</v>
      </c>
      <c r="AA552">
        <v>6</v>
      </c>
      <c r="AB552" t="s">
        <v>46</v>
      </c>
      <c r="AC552" t="s">
        <v>47</v>
      </c>
      <c r="AD552" t="s">
        <v>1489</v>
      </c>
      <c r="AE552" t="s">
        <v>1490</v>
      </c>
    </row>
    <row r="553" spans="1:31" x14ac:dyDescent="0.2">
      <c r="A553" t="s">
        <v>31</v>
      </c>
      <c r="B553">
        <v>2016</v>
      </c>
      <c r="C553">
        <v>35</v>
      </c>
      <c r="D553" s="1">
        <v>42497</v>
      </c>
      <c r="E553" t="s">
        <v>33</v>
      </c>
      <c r="F553" t="s">
        <v>34</v>
      </c>
      <c r="G553" t="s">
        <v>35</v>
      </c>
      <c r="H553" t="s">
        <v>1407</v>
      </c>
      <c r="I553" t="s">
        <v>35</v>
      </c>
      <c r="J553" t="s">
        <v>37</v>
      </c>
      <c r="K553">
        <v>195</v>
      </c>
      <c r="L553">
        <v>3</v>
      </c>
      <c r="M553">
        <v>191</v>
      </c>
      <c r="N553">
        <v>6</v>
      </c>
      <c r="O553" t="s">
        <v>35</v>
      </c>
      <c r="P553" t="s">
        <v>38</v>
      </c>
      <c r="Q553">
        <v>0</v>
      </c>
      <c r="R553">
        <v>7</v>
      </c>
      <c r="S553" t="s">
        <v>678</v>
      </c>
      <c r="T553" t="s">
        <v>1293</v>
      </c>
      <c r="U553" t="s">
        <v>1283</v>
      </c>
      <c r="V553" t="s">
        <v>819</v>
      </c>
      <c r="W553" t="s">
        <v>969</v>
      </c>
      <c r="X553" t="s">
        <v>1417</v>
      </c>
      <c r="Y553" t="s">
        <v>45</v>
      </c>
      <c r="Z553">
        <v>20</v>
      </c>
      <c r="AA553">
        <v>6</v>
      </c>
      <c r="AB553" t="s">
        <v>46</v>
      </c>
      <c r="AC553" t="s">
        <v>47</v>
      </c>
      <c r="AD553" t="s">
        <v>1491</v>
      </c>
      <c r="AE553" t="s">
        <v>1492</v>
      </c>
    </row>
    <row r="554" spans="1:31" x14ac:dyDescent="0.2">
      <c r="A554" t="s">
        <v>31</v>
      </c>
      <c r="B554">
        <v>2016</v>
      </c>
      <c r="C554">
        <v>36</v>
      </c>
      <c r="D554" s="1">
        <v>42497</v>
      </c>
      <c r="E554" t="s">
        <v>50</v>
      </c>
      <c r="F554" t="s">
        <v>1413</v>
      </c>
      <c r="G554" t="s">
        <v>52</v>
      </c>
      <c r="H554" t="s">
        <v>65</v>
      </c>
      <c r="I554" t="s">
        <v>65</v>
      </c>
      <c r="J554" t="s">
        <v>37</v>
      </c>
      <c r="K554">
        <v>181</v>
      </c>
      <c r="L554">
        <v>5</v>
      </c>
      <c r="M554">
        <v>172</v>
      </c>
      <c r="N554">
        <v>5</v>
      </c>
      <c r="O554" t="s">
        <v>52</v>
      </c>
      <c r="P554" t="s">
        <v>38</v>
      </c>
      <c r="Q554">
        <v>9</v>
      </c>
      <c r="R554">
        <v>0</v>
      </c>
      <c r="S554" t="s">
        <v>1493</v>
      </c>
      <c r="T554" t="s">
        <v>502</v>
      </c>
      <c r="U554" t="s">
        <v>312</v>
      </c>
      <c r="V554" t="s">
        <v>158</v>
      </c>
      <c r="W554" t="s">
        <v>146</v>
      </c>
      <c r="X554" t="s">
        <v>1193</v>
      </c>
      <c r="Y554" t="s">
        <v>45</v>
      </c>
      <c r="Z554">
        <v>20</v>
      </c>
      <c r="AA554">
        <v>6</v>
      </c>
      <c r="AB554" t="s">
        <v>46</v>
      </c>
      <c r="AC554" t="s">
        <v>47</v>
      </c>
      <c r="AD554" t="s">
        <v>1494</v>
      </c>
      <c r="AE554" t="s">
        <v>1495</v>
      </c>
    </row>
    <row r="555" spans="1:31" x14ac:dyDescent="0.2">
      <c r="A555" t="s">
        <v>31</v>
      </c>
      <c r="B555">
        <v>2016</v>
      </c>
      <c r="C555">
        <v>37</v>
      </c>
      <c r="D555" s="1">
        <v>42498</v>
      </c>
      <c r="E555" t="s">
        <v>800</v>
      </c>
      <c r="F555" t="s">
        <v>801</v>
      </c>
      <c r="G555" t="s">
        <v>87</v>
      </c>
      <c r="H555" t="s">
        <v>968</v>
      </c>
      <c r="I555" t="s">
        <v>87</v>
      </c>
      <c r="J555" t="s">
        <v>37</v>
      </c>
      <c r="K555">
        <v>92</v>
      </c>
      <c r="L555">
        <v>10</v>
      </c>
      <c r="M555">
        <v>177</v>
      </c>
      <c r="N555">
        <v>3</v>
      </c>
      <c r="O555" t="s">
        <v>968</v>
      </c>
      <c r="P555" t="s">
        <v>38</v>
      </c>
      <c r="Q555">
        <v>85</v>
      </c>
      <c r="R555">
        <v>0</v>
      </c>
      <c r="S555" t="s">
        <v>177</v>
      </c>
      <c r="T555" t="s">
        <v>783</v>
      </c>
      <c r="U555" t="s">
        <v>111</v>
      </c>
      <c r="V555" t="s">
        <v>105</v>
      </c>
      <c r="W555" t="s">
        <v>989</v>
      </c>
      <c r="X555" t="s">
        <v>1197</v>
      </c>
      <c r="Y555" t="s">
        <v>45</v>
      </c>
      <c r="Z555">
        <v>20</v>
      </c>
      <c r="AA555">
        <v>6</v>
      </c>
      <c r="AB555" t="s">
        <v>46</v>
      </c>
      <c r="AC555" t="s">
        <v>47</v>
      </c>
      <c r="AD555" t="s">
        <v>1449</v>
      </c>
      <c r="AE555" t="s">
        <v>1496</v>
      </c>
    </row>
    <row r="556" spans="1:31" x14ac:dyDescent="0.2">
      <c r="A556" t="s">
        <v>31</v>
      </c>
      <c r="B556">
        <v>2016</v>
      </c>
      <c r="C556">
        <v>38</v>
      </c>
      <c r="D556" s="1">
        <v>42498</v>
      </c>
      <c r="E556" t="s">
        <v>75</v>
      </c>
      <c r="F556" t="s">
        <v>76</v>
      </c>
      <c r="G556" t="s">
        <v>36</v>
      </c>
      <c r="H556" t="s">
        <v>1414</v>
      </c>
      <c r="I556" t="s">
        <v>1414</v>
      </c>
      <c r="J556" t="s">
        <v>37</v>
      </c>
      <c r="K556">
        <v>158</v>
      </c>
      <c r="L556">
        <v>4</v>
      </c>
      <c r="M556">
        <v>164</v>
      </c>
      <c r="N556">
        <v>5</v>
      </c>
      <c r="O556" t="s">
        <v>1414</v>
      </c>
      <c r="P556" t="s">
        <v>38</v>
      </c>
      <c r="Q556">
        <v>0</v>
      </c>
      <c r="R556">
        <v>5</v>
      </c>
      <c r="S556" t="s">
        <v>157</v>
      </c>
      <c r="T556" t="s">
        <v>40</v>
      </c>
      <c r="U556" t="s">
        <v>297</v>
      </c>
      <c r="V556" t="s">
        <v>656</v>
      </c>
      <c r="W556" t="s">
        <v>631</v>
      </c>
      <c r="X556" t="s">
        <v>463</v>
      </c>
      <c r="Y556" t="s">
        <v>45</v>
      </c>
      <c r="Z556">
        <v>20</v>
      </c>
      <c r="AA556">
        <v>6</v>
      </c>
      <c r="AB556" t="s">
        <v>46</v>
      </c>
      <c r="AC556" t="s">
        <v>47</v>
      </c>
      <c r="AD556" t="s">
        <v>1497</v>
      </c>
      <c r="AE556" t="s">
        <v>1498</v>
      </c>
    </row>
    <row r="557" spans="1:31" x14ac:dyDescent="0.2">
      <c r="A557" t="s">
        <v>31</v>
      </c>
      <c r="B557">
        <v>2016</v>
      </c>
      <c r="C557">
        <v>39</v>
      </c>
      <c r="D557" s="1">
        <v>42499</v>
      </c>
      <c r="E557" t="s">
        <v>50</v>
      </c>
      <c r="F557" t="s">
        <v>1413</v>
      </c>
      <c r="G557" t="s">
        <v>52</v>
      </c>
      <c r="H557" t="s">
        <v>35</v>
      </c>
      <c r="I557" t="s">
        <v>52</v>
      </c>
      <c r="J557" t="s">
        <v>37</v>
      </c>
      <c r="K557">
        <v>174</v>
      </c>
      <c r="L557">
        <v>4</v>
      </c>
      <c r="M557">
        <v>175</v>
      </c>
      <c r="N557">
        <v>6</v>
      </c>
      <c r="O557" t="s">
        <v>35</v>
      </c>
      <c r="P557" t="s">
        <v>38</v>
      </c>
      <c r="Q557">
        <v>1</v>
      </c>
      <c r="R557">
        <v>0</v>
      </c>
      <c r="S557" t="s">
        <v>97</v>
      </c>
      <c r="T557" t="s">
        <v>1461</v>
      </c>
      <c r="U557" t="s">
        <v>146</v>
      </c>
      <c r="V557" t="s">
        <v>312</v>
      </c>
      <c r="W557" t="s">
        <v>158</v>
      </c>
      <c r="X557" t="s">
        <v>1193</v>
      </c>
      <c r="Y557" t="s">
        <v>45</v>
      </c>
      <c r="Z557">
        <v>20</v>
      </c>
      <c r="AA557">
        <v>6</v>
      </c>
      <c r="AB557" t="s">
        <v>46</v>
      </c>
      <c r="AC557" t="s">
        <v>47</v>
      </c>
      <c r="AD557" t="s">
        <v>1499</v>
      </c>
      <c r="AE557" t="s">
        <v>1500</v>
      </c>
    </row>
    <row r="558" spans="1:31" x14ac:dyDescent="0.2">
      <c r="A558" t="s">
        <v>31</v>
      </c>
      <c r="B558">
        <v>2016</v>
      </c>
      <c r="C558">
        <v>40</v>
      </c>
      <c r="D558" s="1">
        <v>42500</v>
      </c>
      <c r="E558" t="s">
        <v>800</v>
      </c>
      <c r="F558" t="s">
        <v>801</v>
      </c>
      <c r="G558" t="s">
        <v>1407</v>
      </c>
      <c r="H558" t="s">
        <v>968</v>
      </c>
      <c r="I558" t="s">
        <v>968</v>
      </c>
      <c r="J558" t="s">
        <v>54</v>
      </c>
      <c r="K558">
        <v>133</v>
      </c>
      <c r="L558">
        <v>8</v>
      </c>
      <c r="M558">
        <v>137</v>
      </c>
      <c r="N558">
        <v>8</v>
      </c>
      <c r="O558" t="s">
        <v>968</v>
      </c>
      <c r="P558" t="s">
        <v>38</v>
      </c>
      <c r="Q558">
        <v>4</v>
      </c>
      <c r="R558">
        <v>0</v>
      </c>
      <c r="S558" t="s">
        <v>1501</v>
      </c>
      <c r="T558" t="s">
        <v>1443</v>
      </c>
      <c r="U558" t="s">
        <v>1283</v>
      </c>
      <c r="V558" t="s">
        <v>939</v>
      </c>
      <c r="W558" t="s">
        <v>819</v>
      </c>
      <c r="X558" t="s">
        <v>1417</v>
      </c>
      <c r="Y558" t="s">
        <v>45</v>
      </c>
      <c r="Z558">
        <v>20</v>
      </c>
      <c r="AA558">
        <v>6</v>
      </c>
      <c r="AB558" t="s">
        <v>46</v>
      </c>
      <c r="AC558" t="s">
        <v>47</v>
      </c>
      <c r="AD558" t="s">
        <v>1502</v>
      </c>
      <c r="AE558" t="s">
        <v>1496</v>
      </c>
    </row>
    <row r="559" spans="1:31" x14ac:dyDescent="0.2">
      <c r="A559" t="s">
        <v>31</v>
      </c>
      <c r="B559">
        <v>2016</v>
      </c>
      <c r="C559">
        <v>41</v>
      </c>
      <c r="D559" s="1">
        <v>42501</v>
      </c>
      <c r="E559" t="s">
        <v>33</v>
      </c>
      <c r="F559" t="s">
        <v>34</v>
      </c>
      <c r="G559" t="s">
        <v>35</v>
      </c>
      <c r="H559" t="s">
        <v>87</v>
      </c>
      <c r="I559" t="s">
        <v>87</v>
      </c>
      <c r="J559" t="s">
        <v>37</v>
      </c>
      <c r="K559">
        <v>151</v>
      </c>
      <c r="L559">
        <v>4</v>
      </c>
      <c r="M559">
        <v>153</v>
      </c>
      <c r="N559">
        <v>4</v>
      </c>
      <c r="O559" t="s">
        <v>87</v>
      </c>
      <c r="P559" t="s">
        <v>38</v>
      </c>
      <c r="Q559">
        <v>0</v>
      </c>
      <c r="R559">
        <v>6</v>
      </c>
      <c r="S559" t="s">
        <v>1503</v>
      </c>
      <c r="T559" t="s">
        <v>783</v>
      </c>
      <c r="U559" t="s">
        <v>1189</v>
      </c>
      <c r="V559" t="s">
        <v>105</v>
      </c>
      <c r="W559" t="s">
        <v>656</v>
      </c>
      <c r="X559" t="s">
        <v>1197</v>
      </c>
      <c r="Y559" t="s">
        <v>45</v>
      </c>
      <c r="Z559">
        <v>20</v>
      </c>
      <c r="AA559">
        <v>6</v>
      </c>
      <c r="AB559" t="s">
        <v>46</v>
      </c>
      <c r="AC559" t="s">
        <v>47</v>
      </c>
      <c r="AD559" t="s">
        <v>1504</v>
      </c>
      <c r="AE559" t="s">
        <v>1505</v>
      </c>
    </row>
    <row r="560" spans="1:31" x14ac:dyDescent="0.2">
      <c r="A560" t="s">
        <v>31</v>
      </c>
      <c r="B560">
        <v>2016</v>
      </c>
      <c r="C560">
        <v>42</v>
      </c>
      <c r="D560" s="1">
        <v>42502</v>
      </c>
      <c r="E560" t="s">
        <v>101</v>
      </c>
      <c r="F560" t="s">
        <v>102</v>
      </c>
      <c r="G560" t="s">
        <v>968</v>
      </c>
      <c r="H560" t="s">
        <v>65</v>
      </c>
      <c r="I560" t="s">
        <v>65</v>
      </c>
      <c r="J560" t="s">
        <v>37</v>
      </c>
      <c r="K560">
        <v>146</v>
      </c>
      <c r="L560">
        <v>8</v>
      </c>
      <c r="M560">
        <v>150</v>
      </c>
      <c r="N560">
        <v>3</v>
      </c>
      <c r="O560" t="s">
        <v>65</v>
      </c>
      <c r="P560" t="s">
        <v>38</v>
      </c>
      <c r="Q560">
        <v>0</v>
      </c>
      <c r="R560">
        <v>7</v>
      </c>
      <c r="S560" t="s">
        <v>1464</v>
      </c>
      <c r="T560" t="s">
        <v>40</v>
      </c>
      <c r="U560" t="s">
        <v>631</v>
      </c>
      <c r="V560" t="s">
        <v>297</v>
      </c>
      <c r="W560" t="s">
        <v>463</v>
      </c>
      <c r="X560" t="s">
        <v>1410</v>
      </c>
      <c r="Y560" t="s">
        <v>45</v>
      </c>
      <c r="Z560">
        <v>20</v>
      </c>
      <c r="AA560">
        <v>6</v>
      </c>
      <c r="AB560" t="s">
        <v>46</v>
      </c>
      <c r="AC560" t="s">
        <v>47</v>
      </c>
      <c r="AD560" t="s">
        <v>1496</v>
      </c>
      <c r="AE560" t="s">
        <v>1506</v>
      </c>
    </row>
    <row r="561" spans="1:31" x14ac:dyDescent="0.2">
      <c r="A561" t="s">
        <v>31</v>
      </c>
      <c r="B561">
        <v>2016</v>
      </c>
      <c r="C561">
        <v>43</v>
      </c>
      <c r="D561" s="1">
        <v>42503</v>
      </c>
      <c r="E561" t="s">
        <v>800</v>
      </c>
      <c r="F561" t="s">
        <v>801</v>
      </c>
      <c r="G561" t="s">
        <v>87</v>
      </c>
      <c r="H561" t="s">
        <v>52</v>
      </c>
      <c r="I561" t="s">
        <v>87</v>
      </c>
      <c r="J561" t="s">
        <v>54</v>
      </c>
      <c r="K561">
        <v>124</v>
      </c>
      <c r="L561">
        <v>9</v>
      </c>
      <c r="M561">
        <v>127</v>
      </c>
      <c r="N561">
        <v>3</v>
      </c>
      <c r="O561" t="s">
        <v>52</v>
      </c>
      <c r="P561" t="s">
        <v>38</v>
      </c>
      <c r="Q561">
        <v>0</v>
      </c>
      <c r="R561">
        <v>7</v>
      </c>
      <c r="S561" t="s">
        <v>1493</v>
      </c>
      <c r="T561" t="s">
        <v>502</v>
      </c>
      <c r="U561" t="s">
        <v>312</v>
      </c>
      <c r="V561" t="s">
        <v>158</v>
      </c>
      <c r="W561" t="s">
        <v>146</v>
      </c>
      <c r="X561" t="s">
        <v>1193</v>
      </c>
      <c r="Y561" t="s">
        <v>45</v>
      </c>
      <c r="Z561">
        <v>20</v>
      </c>
      <c r="AA561">
        <v>6</v>
      </c>
      <c r="AB561" t="s">
        <v>46</v>
      </c>
      <c r="AC561" t="s">
        <v>47</v>
      </c>
      <c r="AD561" t="s">
        <v>1507</v>
      </c>
      <c r="AE561" t="s">
        <v>1508</v>
      </c>
    </row>
    <row r="562" spans="1:31" x14ac:dyDescent="0.2">
      <c r="A562" t="s">
        <v>31</v>
      </c>
      <c r="B562">
        <v>2016</v>
      </c>
      <c r="C562">
        <v>44</v>
      </c>
      <c r="D562" s="1">
        <v>42504</v>
      </c>
      <c r="E562" t="s">
        <v>33</v>
      </c>
      <c r="F562" t="s">
        <v>34</v>
      </c>
      <c r="G562" t="s">
        <v>35</v>
      </c>
      <c r="H562" t="s">
        <v>1414</v>
      </c>
      <c r="I562" t="s">
        <v>1414</v>
      </c>
      <c r="J562" t="s">
        <v>37</v>
      </c>
      <c r="K562">
        <v>248</v>
      </c>
      <c r="L562">
        <v>3</v>
      </c>
      <c r="M562">
        <v>104</v>
      </c>
      <c r="N562">
        <v>10</v>
      </c>
      <c r="O562" t="s">
        <v>35</v>
      </c>
      <c r="P562" t="s">
        <v>38</v>
      </c>
      <c r="Q562">
        <v>144</v>
      </c>
      <c r="R562">
        <v>0</v>
      </c>
      <c r="S562" t="s">
        <v>300</v>
      </c>
      <c r="T562" t="s">
        <v>783</v>
      </c>
      <c r="U562" t="s">
        <v>1189</v>
      </c>
      <c r="V562" t="s">
        <v>939</v>
      </c>
      <c r="W562" t="s">
        <v>105</v>
      </c>
      <c r="X562" t="s">
        <v>1197</v>
      </c>
      <c r="Y562" t="s">
        <v>45</v>
      </c>
      <c r="Z562">
        <v>20</v>
      </c>
      <c r="AA562">
        <v>6</v>
      </c>
      <c r="AB562" t="s">
        <v>46</v>
      </c>
      <c r="AC562" t="s">
        <v>47</v>
      </c>
      <c r="AD562" t="s">
        <v>1509</v>
      </c>
      <c r="AE562" t="s">
        <v>1510</v>
      </c>
    </row>
    <row r="563" spans="1:31" x14ac:dyDescent="0.2">
      <c r="A563" t="s">
        <v>31</v>
      </c>
      <c r="B563">
        <v>2016</v>
      </c>
      <c r="C563">
        <v>45</v>
      </c>
      <c r="D563" s="1">
        <v>42504</v>
      </c>
      <c r="E563" t="s">
        <v>75</v>
      </c>
      <c r="F563" t="s">
        <v>76</v>
      </c>
      <c r="G563" t="s">
        <v>36</v>
      </c>
      <c r="H563" t="s">
        <v>1407</v>
      </c>
      <c r="I563" t="s">
        <v>1407</v>
      </c>
      <c r="J563" t="s">
        <v>54</v>
      </c>
      <c r="K563">
        <v>66</v>
      </c>
      <c r="L563">
        <v>2</v>
      </c>
      <c r="M563">
        <v>103</v>
      </c>
      <c r="N563">
        <v>6</v>
      </c>
      <c r="O563" t="s">
        <v>36</v>
      </c>
      <c r="P563" t="s">
        <v>38</v>
      </c>
      <c r="Q563">
        <v>0</v>
      </c>
      <c r="R563">
        <v>8</v>
      </c>
      <c r="S563" t="s">
        <v>114</v>
      </c>
      <c r="T563" t="s">
        <v>1293</v>
      </c>
      <c r="U563" t="s">
        <v>969</v>
      </c>
      <c r="V563" t="s">
        <v>819</v>
      </c>
      <c r="W563" t="s">
        <v>1283</v>
      </c>
      <c r="X563" t="s">
        <v>1417</v>
      </c>
      <c r="Y563" t="s">
        <v>45</v>
      </c>
      <c r="Z563">
        <v>20</v>
      </c>
      <c r="AA563">
        <v>6</v>
      </c>
      <c r="AB563" t="s">
        <v>46</v>
      </c>
      <c r="AC563" t="s">
        <v>47</v>
      </c>
      <c r="AD563" t="s">
        <v>1511</v>
      </c>
      <c r="AE563" t="s">
        <v>1512</v>
      </c>
    </row>
    <row r="564" spans="1:31" x14ac:dyDescent="0.2">
      <c r="A564" t="s">
        <v>31</v>
      </c>
      <c r="B564">
        <v>2016</v>
      </c>
      <c r="C564">
        <v>46</v>
      </c>
      <c r="D564" s="1">
        <v>42505</v>
      </c>
      <c r="E564" t="s">
        <v>50</v>
      </c>
      <c r="F564" t="s">
        <v>1413</v>
      </c>
      <c r="G564" t="s">
        <v>52</v>
      </c>
      <c r="H564" t="s">
        <v>968</v>
      </c>
      <c r="I564" t="s">
        <v>52</v>
      </c>
      <c r="J564" t="s">
        <v>54</v>
      </c>
      <c r="K564">
        <v>179</v>
      </c>
      <c r="L564">
        <v>4</v>
      </c>
      <c r="M564">
        <v>180</v>
      </c>
      <c r="N564">
        <v>3</v>
      </c>
      <c r="O564" t="s">
        <v>968</v>
      </c>
      <c r="P564" t="s">
        <v>38</v>
      </c>
      <c r="Q564">
        <v>0</v>
      </c>
      <c r="R564">
        <v>7</v>
      </c>
      <c r="S564" t="s">
        <v>1513</v>
      </c>
      <c r="T564" t="s">
        <v>1279</v>
      </c>
      <c r="U564" t="s">
        <v>463</v>
      </c>
      <c r="V564" t="s">
        <v>297</v>
      </c>
      <c r="W564" t="s">
        <v>631</v>
      </c>
      <c r="X564" t="s">
        <v>1410</v>
      </c>
      <c r="Y564" t="s">
        <v>45</v>
      </c>
      <c r="Z564">
        <v>20</v>
      </c>
      <c r="AA564">
        <v>6</v>
      </c>
      <c r="AB564" t="s">
        <v>46</v>
      </c>
      <c r="AC564" t="s">
        <v>47</v>
      </c>
      <c r="AD564" t="s">
        <v>1514</v>
      </c>
      <c r="AE564" t="s">
        <v>1515</v>
      </c>
    </row>
    <row r="565" spans="1:31" x14ac:dyDescent="0.2">
      <c r="A565" t="s">
        <v>31</v>
      </c>
      <c r="B565">
        <v>2016</v>
      </c>
      <c r="C565">
        <v>47</v>
      </c>
      <c r="D565" s="1">
        <v>42505</v>
      </c>
      <c r="E565" t="s">
        <v>800</v>
      </c>
      <c r="F565" t="s">
        <v>801</v>
      </c>
      <c r="G565" t="s">
        <v>87</v>
      </c>
      <c r="H565" t="s">
        <v>65</v>
      </c>
      <c r="I565" t="s">
        <v>65</v>
      </c>
      <c r="J565" t="s">
        <v>37</v>
      </c>
      <c r="K565">
        <v>206</v>
      </c>
      <c r="L565">
        <v>4</v>
      </c>
      <c r="M565">
        <v>126</v>
      </c>
      <c r="N565">
        <v>10</v>
      </c>
      <c r="O565" t="s">
        <v>87</v>
      </c>
      <c r="P565" t="s">
        <v>38</v>
      </c>
      <c r="Q565">
        <v>80</v>
      </c>
      <c r="R565">
        <v>0</v>
      </c>
      <c r="S565" t="s">
        <v>1503</v>
      </c>
      <c r="T565" t="s">
        <v>1461</v>
      </c>
      <c r="U565" t="s">
        <v>989</v>
      </c>
      <c r="V565" t="s">
        <v>158</v>
      </c>
      <c r="W565" t="s">
        <v>146</v>
      </c>
      <c r="X565" t="s">
        <v>1193</v>
      </c>
      <c r="Y565" t="s">
        <v>45</v>
      </c>
      <c r="Z565">
        <v>20</v>
      </c>
      <c r="AA565">
        <v>6</v>
      </c>
      <c r="AB565" t="s">
        <v>46</v>
      </c>
      <c r="AC565" t="s">
        <v>47</v>
      </c>
      <c r="AD565" t="s">
        <v>1516</v>
      </c>
      <c r="AE565" t="s">
        <v>1517</v>
      </c>
    </row>
    <row r="566" spans="1:31" x14ac:dyDescent="0.2">
      <c r="A566" t="s">
        <v>31</v>
      </c>
      <c r="B566">
        <v>2016</v>
      </c>
      <c r="C566">
        <v>48</v>
      </c>
      <c r="D566" s="1">
        <v>42506</v>
      </c>
      <c r="E566" t="s">
        <v>75</v>
      </c>
      <c r="F566" t="s">
        <v>76</v>
      </c>
      <c r="G566" t="s">
        <v>36</v>
      </c>
      <c r="H566" t="s">
        <v>35</v>
      </c>
      <c r="I566" t="s">
        <v>35</v>
      </c>
      <c r="J566" t="s">
        <v>37</v>
      </c>
      <c r="K566">
        <v>183</v>
      </c>
      <c r="L566">
        <v>5</v>
      </c>
      <c r="M566">
        <v>186</v>
      </c>
      <c r="N566">
        <v>1</v>
      </c>
      <c r="O566" t="s">
        <v>35</v>
      </c>
      <c r="P566" t="s">
        <v>38</v>
      </c>
      <c r="Q566">
        <v>0</v>
      </c>
      <c r="R566">
        <v>9</v>
      </c>
      <c r="S566" t="s">
        <v>678</v>
      </c>
      <c r="T566" t="s">
        <v>1293</v>
      </c>
      <c r="U566" t="s">
        <v>1283</v>
      </c>
      <c r="V566" t="s">
        <v>969</v>
      </c>
      <c r="W566" t="s">
        <v>819</v>
      </c>
      <c r="X566" t="s">
        <v>1417</v>
      </c>
      <c r="Y566" t="s">
        <v>45</v>
      </c>
      <c r="Z566">
        <v>20</v>
      </c>
      <c r="AA566">
        <v>6</v>
      </c>
      <c r="AB566" t="s">
        <v>46</v>
      </c>
      <c r="AC566" t="s">
        <v>47</v>
      </c>
      <c r="AD566" t="s">
        <v>1518</v>
      </c>
      <c r="AE566" t="s">
        <v>1519</v>
      </c>
    </row>
    <row r="567" spans="1:31" x14ac:dyDescent="0.2">
      <c r="A567" t="s">
        <v>31</v>
      </c>
      <c r="B567">
        <v>2016</v>
      </c>
      <c r="C567">
        <v>49</v>
      </c>
      <c r="D567" s="1">
        <v>42507</v>
      </c>
      <c r="E567" t="s">
        <v>800</v>
      </c>
      <c r="F567" t="s">
        <v>801</v>
      </c>
      <c r="G567" t="s">
        <v>1407</v>
      </c>
      <c r="H567" t="s">
        <v>65</v>
      </c>
      <c r="I567" t="s">
        <v>1407</v>
      </c>
      <c r="J567" t="s">
        <v>37</v>
      </c>
      <c r="K567">
        <v>76</v>
      </c>
      <c r="L567">
        <v>1</v>
      </c>
      <c r="M567">
        <v>121</v>
      </c>
      <c r="N567">
        <v>6</v>
      </c>
      <c r="O567" t="s">
        <v>1407</v>
      </c>
      <c r="P567" t="s">
        <v>38</v>
      </c>
      <c r="Q567">
        <v>19</v>
      </c>
      <c r="R567">
        <v>0</v>
      </c>
      <c r="S567" t="s">
        <v>1460</v>
      </c>
      <c r="T567" t="s">
        <v>502</v>
      </c>
      <c r="U567" t="s">
        <v>989</v>
      </c>
      <c r="V567" t="s">
        <v>105</v>
      </c>
      <c r="W567" t="s">
        <v>312</v>
      </c>
      <c r="X567" t="s">
        <v>1197</v>
      </c>
      <c r="Y567" t="s">
        <v>45</v>
      </c>
      <c r="Z567">
        <v>20</v>
      </c>
      <c r="AA567">
        <v>6</v>
      </c>
      <c r="AB567" t="s">
        <v>46</v>
      </c>
      <c r="AC567" t="s">
        <v>47</v>
      </c>
      <c r="AD567" t="s">
        <v>1520</v>
      </c>
      <c r="AE567" t="s">
        <v>1521</v>
      </c>
    </row>
    <row r="568" spans="1:31" x14ac:dyDescent="0.2">
      <c r="A568" t="s">
        <v>31</v>
      </c>
      <c r="B568">
        <v>2016</v>
      </c>
      <c r="C568">
        <v>50</v>
      </c>
      <c r="D568" s="1">
        <v>42508</v>
      </c>
      <c r="E568" t="s">
        <v>33</v>
      </c>
      <c r="F568" t="s">
        <v>34</v>
      </c>
      <c r="G568" t="s">
        <v>35</v>
      </c>
      <c r="H568" t="s">
        <v>52</v>
      </c>
      <c r="I568" t="s">
        <v>52</v>
      </c>
      <c r="J568" t="s">
        <v>37</v>
      </c>
      <c r="K568">
        <v>211</v>
      </c>
      <c r="L568">
        <v>3</v>
      </c>
      <c r="M568">
        <v>120</v>
      </c>
      <c r="N568">
        <v>9</v>
      </c>
      <c r="O568" t="s">
        <v>35</v>
      </c>
      <c r="P568" t="s">
        <v>38</v>
      </c>
      <c r="Q568">
        <v>82</v>
      </c>
      <c r="R568">
        <v>0</v>
      </c>
      <c r="S568" t="s">
        <v>678</v>
      </c>
      <c r="T568" t="s">
        <v>1279</v>
      </c>
      <c r="U568" t="s">
        <v>463</v>
      </c>
      <c r="V568" t="s">
        <v>297</v>
      </c>
      <c r="W568" t="s">
        <v>631</v>
      </c>
      <c r="X568" t="s">
        <v>1410</v>
      </c>
      <c r="Y568" t="s">
        <v>45</v>
      </c>
      <c r="Z568">
        <v>20</v>
      </c>
      <c r="AA568">
        <v>6</v>
      </c>
      <c r="AB568" t="s">
        <v>46</v>
      </c>
      <c r="AC568" t="s">
        <v>47</v>
      </c>
      <c r="AD568" t="s">
        <v>1522</v>
      </c>
      <c r="AE568" t="s">
        <v>1523</v>
      </c>
    </row>
    <row r="569" spans="1:31" x14ac:dyDescent="0.2">
      <c r="A569" t="s">
        <v>31</v>
      </c>
      <c r="B569">
        <v>2016</v>
      </c>
      <c r="C569">
        <v>51</v>
      </c>
      <c r="D569" s="1">
        <v>42509</v>
      </c>
      <c r="E569" t="s">
        <v>1524</v>
      </c>
      <c r="F569" t="s">
        <v>1525</v>
      </c>
      <c r="G569" t="s">
        <v>1414</v>
      </c>
      <c r="H569" t="s">
        <v>36</v>
      </c>
      <c r="I569" t="s">
        <v>1414</v>
      </c>
      <c r="J569" t="s">
        <v>37</v>
      </c>
      <c r="K569">
        <v>125</v>
      </c>
      <c r="L569">
        <v>4</v>
      </c>
      <c r="M569">
        <v>124</v>
      </c>
      <c r="N569">
        <v>8</v>
      </c>
      <c r="O569" t="s">
        <v>1414</v>
      </c>
      <c r="P569" t="s">
        <v>38</v>
      </c>
      <c r="Q569">
        <v>0</v>
      </c>
      <c r="R569">
        <v>6</v>
      </c>
      <c r="S569" t="s">
        <v>388</v>
      </c>
      <c r="T569" t="s">
        <v>502</v>
      </c>
      <c r="U569" t="s">
        <v>146</v>
      </c>
      <c r="V569" t="s">
        <v>158</v>
      </c>
      <c r="W569" t="s">
        <v>1189</v>
      </c>
      <c r="X569" t="s">
        <v>1193</v>
      </c>
      <c r="Y569" t="s">
        <v>45</v>
      </c>
      <c r="Z569">
        <v>20</v>
      </c>
      <c r="AA569">
        <v>6</v>
      </c>
      <c r="AB569" t="s">
        <v>46</v>
      </c>
      <c r="AC569" t="s">
        <v>47</v>
      </c>
      <c r="AD569" t="s">
        <v>1526</v>
      </c>
      <c r="AE569" t="s">
        <v>1527</v>
      </c>
    </row>
    <row r="570" spans="1:31" x14ac:dyDescent="0.2">
      <c r="A570" t="s">
        <v>31</v>
      </c>
      <c r="B570">
        <v>2016</v>
      </c>
      <c r="C570">
        <v>52</v>
      </c>
      <c r="D570" s="1">
        <v>42510</v>
      </c>
      <c r="E570" t="s">
        <v>1051</v>
      </c>
      <c r="F570" t="s">
        <v>1052</v>
      </c>
      <c r="G570" t="s">
        <v>65</v>
      </c>
      <c r="H570" t="s">
        <v>968</v>
      </c>
      <c r="I570" t="s">
        <v>65</v>
      </c>
      <c r="J570" t="s">
        <v>37</v>
      </c>
      <c r="K570">
        <v>161</v>
      </c>
      <c r="L570">
        <v>4</v>
      </c>
      <c r="M570">
        <v>158</v>
      </c>
      <c r="N570">
        <v>7</v>
      </c>
      <c r="O570" t="s">
        <v>65</v>
      </c>
      <c r="P570" t="s">
        <v>38</v>
      </c>
      <c r="Q570">
        <v>0</v>
      </c>
      <c r="R570">
        <v>6</v>
      </c>
      <c r="S570" t="s">
        <v>1196</v>
      </c>
      <c r="T570" t="s">
        <v>1443</v>
      </c>
      <c r="U570" t="s">
        <v>969</v>
      </c>
      <c r="V570" t="s">
        <v>819</v>
      </c>
      <c r="W570" t="s">
        <v>939</v>
      </c>
      <c r="X570" t="s">
        <v>1417</v>
      </c>
      <c r="Y570" t="s">
        <v>45</v>
      </c>
      <c r="Z570">
        <v>20</v>
      </c>
      <c r="AA570">
        <v>6</v>
      </c>
      <c r="AB570" t="s">
        <v>46</v>
      </c>
      <c r="AC570" t="s">
        <v>47</v>
      </c>
      <c r="AD570" t="s">
        <v>1528</v>
      </c>
      <c r="AE570" t="s">
        <v>1529</v>
      </c>
    </row>
    <row r="571" spans="1:31" x14ac:dyDescent="0.2">
      <c r="A571" t="s">
        <v>31</v>
      </c>
      <c r="B571">
        <v>2016</v>
      </c>
      <c r="C571">
        <v>53</v>
      </c>
      <c r="D571" s="1">
        <v>42511</v>
      </c>
      <c r="E571" t="s">
        <v>800</v>
      </c>
      <c r="F571" t="s">
        <v>801</v>
      </c>
      <c r="G571" t="s">
        <v>1407</v>
      </c>
      <c r="H571" t="s">
        <v>52</v>
      </c>
      <c r="I571" t="s">
        <v>52</v>
      </c>
      <c r="J571" t="s">
        <v>54</v>
      </c>
      <c r="K571">
        <v>173</v>
      </c>
      <c r="L571">
        <v>6</v>
      </c>
      <c r="M571">
        <v>172</v>
      </c>
      <c r="N571">
        <v>7</v>
      </c>
      <c r="O571" t="s">
        <v>1407</v>
      </c>
      <c r="P571" t="s">
        <v>38</v>
      </c>
      <c r="Q571">
        <v>0</v>
      </c>
      <c r="R571">
        <v>4</v>
      </c>
      <c r="S571" t="s">
        <v>136</v>
      </c>
      <c r="T571" t="s">
        <v>783</v>
      </c>
      <c r="U571" t="s">
        <v>312</v>
      </c>
      <c r="V571" t="s">
        <v>989</v>
      </c>
      <c r="W571" t="s">
        <v>105</v>
      </c>
      <c r="X571" t="s">
        <v>1197</v>
      </c>
      <c r="Y571" t="s">
        <v>45</v>
      </c>
      <c r="Z571">
        <v>20</v>
      </c>
      <c r="AA571">
        <v>6</v>
      </c>
      <c r="AB571" t="s">
        <v>46</v>
      </c>
      <c r="AC571" t="s">
        <v>47</v>
      </c>
      <c r="AD571" t="s">
        <v>1530</v>
      </c>
      <c r="AE571" t="s">
        <v>1531</v>
      </c>
    </row>
    <row r="572" spans="1:31" x14ac:dyDescent="0.2">
      <c r="A572" t="s">
        <v>31</v>
      </c>
      <c r="B572">
        <v>2016</v>
      </c>
      <c r="C572">
        <v>54</v>
      </c>
      <c r="D572" s="1">
        <v>42511</v>
      </c>
      <c r="E572" t="s">
        <v>1524</v>
      </c>
      <c r="F572" t="s">
        <v>1525</v>
      </c>
      <c r="G572" t="s">
        <v>1414</v>
      </c>
      <c r="H572" t="s">
        <v>87</v>
      </c>
      <c r="I572" t="s">
        <v>1414</v>
      </c>
      <c r="J572" t="s">
        <v>37</v>
      </c>
      <c r="K572">
        <v>173</v>
      </c>
      <c r="L572">
        <v>4</v>
      </c>
      <c r="M572">
        <v>172</v>
      </c>
      <c r="N572">
        <v>8</v>
      </c>
      <c r="O572" t="s">
        <v>1414</v>
      </c>
      <c r="P572" t="s">
        <v>38</v>
      </c>
      <c r="Q572">
        <v>0</v>
      </c>
      <c r="R572">
        <v>6</v>
      </c>
      <c r="S572" t="s">
        <v>248</v>
      </c>
      <c r="T572" t="s">
        <v>502</v>
      </c>
      <c r="U572" t="s">
        <v>146</v>
      </c>
      <c r="V572" t="s">
        <v>158</v>
      </c>
      <c r="W572" t="s">
        <v>1189</v>
      </c>
      <c r="X572" t="s">
        <v>1193</v>
      </c>
      <c r="Y572" t="s">
        <v>45</v>
      </c>
      <c r="Z572">
        <v>20</v>
      </c>
      <c r="AA572">
        <v>6</v>
      </c>
      <c r="AB572" t="s">
        <v>46</v>
      </c>
      <c r="AC572" t="s">
        <v>47</v>
      </c>
      <c r="AD572" t="s">
        <v>1532</v>
      </c>
      <c r="AE572" t="s">
        <v>1533</v>
      </c>
    </row>
    <row r="573" spans="1:31" x14ac:dyDescent="0.2">
      <c r="A573" t="s">
        <v>31</v>
      </c>
      <c r="B573">
        <v>2016</v>
      </c>
      <c r="C573">
        <v>55</v>
      </c>
      <c r="D573" s="1">
        <v>42512</v>
      </c>
      <c r="E573" t="s">
        <v>75</v>
      </c>
      <c r="F573" t="s">
        <v>76</v>
      </c>
      <c r="G573" t="s">
        <v>36</v>
      </c>
      <c r="H573" t="s">
        <v>968</v>
      </c>
      <c r="I573" t="s">
        <v>968</v>
      </c>
      <c r="J573" t="s">
        <v>37</v>
      </c>
      <c r="K573">
        <v>171</v>
      </c>
      <c r="L573">
        <v>6</v>
      </c>
      <c r="M573">
        <v>149</v>
      </c>
      <c r="N573">
        <v>8</v>
      </c>
      <c r="O573" t="s">
        <v>36</v>
      </c>
      <c r="P573" t="s">
        <v>38</v>
      </c>
      <c r="Q573">
        <v>22</v>
      </c>
      <c r="R573">
        <v>0</v>
      </c>
      <c r="S573" t="s">
        <v>114</v>
      </c>
      <c r="T573" t="s">
        <v>40</v>
      </c>
      <c r="U573" t="s">
        <v>463</v>
      </c>
      <c r="V573" t="s">
        <v>297</v>
      </c>
      <c r="W573" t="s">
        <v>631</v>
      </c>
      <c r="X573" t="s">
        <v>1410</v>
      </c>
      <c r="Y573" t="s">
        <v>45</v>
      </c>
      <c r="Z573">
        <v>20</v>
      </c>
      <c r="AA573">
        <v>6</v>
      </c>
      <c r="AB573" t="s">
        <v>46</v>
      </c>
      <c r="AC573" t="s">
        <v>47</v>
      </c>
      <c r="AD573" t="s">
        <v>1534</v>
      </c>
      <c r="AE573" t="s">
        <v>1535</v>
      </c>
    </row>
    <row r="574" spans="1:31" x14ac:dyDescent="0.2">
      <c r="A574" t="s">
        <v>31</v>
      </c>
      <c r="B574">
        <v>2016</v>
      </c>
      <c r="C574">
        <v>56</v>
      </c>
      <c r="D574" s="1">
        <v>42512</v>
      </c>
      <c r="E574" t="s">
        <v>1051</v>
      </c>
      <c r="F574" t="s">
        <v>1052</v>
      </c>
      <c r="G574" t="s">
        <v>65</v>
      </c>
      <c r="H574" t="s">
        <v>35</v>
      </c>
      <c r="I574" t="s">
        <v>35</v>
      </c>
      <c r="J574" t="s">
        <v>37</v>
      </c>
      <c r="K574">
        <v>138</v>
      </c>
      <c r="L574">
        <v>8</v>
      </c>
      <c r="M574">
        <v>139</v>
      </c>
      <c r="N574">
        <v>4</v>
      </c>
      <c r="O574" t="s">
        <v>35</v>
      </c>
      <c r="P574" t="s">
        <v>38</v>
      </c>
      <c r="Q574">
        <v>0</v>
      </c>
      <c r="R574">
        <v>6</v>
      </c>
      <c r="S574" t="s">
        <v>678</v>
      </c>
      <c r="T574" t="s">
        <v>1293</v>
      </c>
      <c r="U574" t="s">
        <v>969</v>
      </c>
      <c r="V574" t="s">
        <v>819</v>
      </c>
      <c r="W574" t="s">
        <v>939</v>
      </c>
      <c r="X574" t="s">
        <v>1417</v>
      </c>
      <c r="Y574" t="s">
        <v>45</v>
      </c>
      <c r="Z574">
        <v>20</v>
      </c>
      <c r="AA574">
        <v>6</v>
      </c>
      <c r="AB574" t="s">
        <v>46</v>
      </c>
      <c r="AC574" t="s">
        <v>47</v>
      </c>
      <c r="AD574" t="s">
        <v>1536</v>
      </c>
      <c r="AE574" t="s">
        <v>1537</v>
      </c>
    </row>
    <row r="575" spans="1:31" x14ac:dyDescent="0.2">
      <c r="A575" t="s">
        <v>31</v>
      </c>
      <c r="B575">
        <v>2016</v>
      </c>
      <c r="C575" t="s">
        <v>256</v>
      </c>
      <c r="D575" s="1">
        <v>42514</v>
      </c>
      <c r="E575" t="s">
        <v>33</v>
      </c>
      <c r="F575" t="s">
        <v>34</v>
      </c>
      <c r="G575" t="s">
        <v>1414</v>
      </c>
      <c r="H575" t="s">
        <v>35</v>
      </c>
      <c r="I575" t="s">
        <v>35</v>
      </c>
      <c r="J575" t="s">
        <v>37</v>
      </c>
      <c r="K575">
        <v>158</v>
      </c>
      <c r="L575">
        <v>10</v>
      </c>
      <c r="M575">
        <v>159</v>
      </c>
      <c r="N575">
        <v>6</v>
      </c>
      <c r="O575" t="s">
        <v>35</v>
      </c>
      <c r="P575" t="s">
        <v>38</v>
      </c>
      <c r="Q575">
        <v>0</v>
      </c>
      <c r="R575">
        <v>4</v>
      </c>
      <c r="S575" t="s">
        <v>300</v>
      </c>
      <c r="T575" t="s">
        <v>502</v>
      </c>
      <c r="U575" t="s">
        <v>146</v>
      </c>
      <c r="V575" t="s">
        <v>312</v>
      </c>
      <c r="W575" t="s">
        <v>819</v>
      </c>
      <c r="X575" t="s">
        <v>1410</v>
      </c>
      <c r="Y575" t="s">
        <v>45</v>
      </c>
      <c r="Z575">
        <v>20</v>
      </c>
      <c r="AA575">
        <v>6</v>
      </c>
      <c r="AB575" t="s">
        <v>46</v>
      </c>
      <c r="AC575" t="s">
        <v>47</v>
      </c>
      <c r="AD575" t="s">
        <v>1538</v>
      </c>
      <c r="AE575" t="s">
        <v>1539</v>
      </c>
    </row>
    <row r="576" spans="1:31" x14ac:dyDescent="0.2">
      <c r="A576" t="s">
        <v>31</v>
      </c>
      <c r="B576">
        <v>2016</v>
      </c>
      <c r="C576" t="s">
        <v>256</v>
      </c>
      <c r="D576" s="1">
        <v>42515</v>
      </c>
      <c r="E576" t="s">
        <v>63</v>
      </c>
      <c r="F576" t="s">
        <v>64</v>
      </c>
      <c r="G576" t="s">
        <v>968</v>
      </c>
      <c r="H576" t="s">
        <v>36</v>
      </c>
      <c r="I576" t="s">
        <v>36</v>
      </c>
      <c r="J576" t="s">
        <v>37</v>
      </c>
      <c r="K576">
        <v>162</v>
      </c>
      <c r="L576">
        <v>8</v>
      </c>
      <c r="M576">
        <v>140</v>
      </c>
      <c r="N576">
        <v>8</v>
      </c>
      <c r="O576" t="s">
        <v>968</v>
      </c>
      <c r="P576" t="s">
        <v>38</v>
      </c>
      <c r="Q576">
        <v>22</v>
      </c>
      <c r="R576">
        <v>0</v>
      </c>
      <c r="S576" t="s">
        <v>1374</v>
      </c>
      <c r="T576" t="s">
        <v>502</v>
      </c>
      <c r="U576" t="s">
        <v>297</v>
      </c>
      <c r="V576" t="s">
        <v>105</v>
      </c>
      <c r="W576" t="s">
        <v>158</v>
      </c>
      <c r="X576" t="s">
        <v>1197</v>
      </c>
      <c r="Y576" t="s">
        <v>45</v>
      </c>
      <c r="Z576">
        <v>20</v>
      </c>
      <c r="AA576">
        <v>6</v>
      </c>
      <c r="AB576" t="s">
        <v>46</v>
      </c>
      <c r="AC576" t="s">
        <v>47</v>
      </c>
      <c r="AD576" t="s">
        <v>1540</v>
      </c>
      <c r="AE576" t="s">
        <v>1541</v>
      </c>
    </row>
    <row r="577" spans="1:31" x14ac:dyDescent="0.2">
      <c r="A577" t="s">
        <v>31</v>
      </c>
      <c r="B577">
        <v>2016</v>
      </c>
      <c r="C577" t="s">
        <v>256</v>
      </c>
      <c r="D577" s="1">
        <v>42517</v>
      </c>
      <c r="E577" t="s">
        <v>63</v>
      </c>
      <c r="F577" t="s">
        <v>64</v>
      </c>
      <c r="G577" t="s">
        <v>1414</v>
      </c>
      <c r="H577" t="s">
        <v>968</v>
      </c>
      <c r="I577" t="s">
        <v>968</v>
      </c>
      <c r="J577" t="s">
        <v>37</v>
      </c>
      <c r="K577">
        <v>162</v>
      </c>
      <c r="L577">
        <v>7</v>
      </c>
      <c r="M577">
        <v>163</v>
      </c>
      <c r="N577">
        <v>6</v>
      </c>
      <c r="O577" t="s">
        <v>968</v>
      </c>
      <c r="P577" t="s">
        <v>38</v>
      </c>
      <c r="Q577">
        <v>0</v>
      </c>
      <c r="R577">
        <v>4</v>
      </c>
      <c r="S577" t="s">
        <v>512</v>
      </c>
      <c r="T577" t="s">
        <v>502</v>
      </c>
      <c r="U577" t="s">
        <v>297</v>
      </c>
      <c r="V577" t="s">
        <v>158</v>
      </c>
      <c r="W577" t="s">
        <v>105</v>
      </c>
      <c r="X577" t="s">
        <v>1197</v>
      </c>
      <c r="Y577" t="s">
        <v>45</v>
      </c>
      <c r="Z577">
        <v>20</v>
      </c>
      <c r="AA577">
        <v>6</v>
      </c>
      <c r="AB577" t="s">
        <v>46</v>
      </c>
      <c r="AC577" t="s">
        <v>47</v>
      </c>
      <c r="AD577" t="s">
        <v>1542</v>
      </c>
      <c r="AE577" t="s">
        <v>1543</v>
      </c>
    </row>
    <row r="578" spans="1:31" x14ac:dyDescent="0.2">
      <c r="A578" t="s">
        <v>31</v>
      </c>
      <c r="B578">
        <v>2016</v>
      </c>
      <c r="C578" t="s">
        <v>256</v>
      </c>
      <c r="D578" s="1">
        <v>42519</v>
      </c>
      <c r="E578" t="s">
        <v>33</v>
      </c>
      <c r="F578" t="s">
        <v>34</v>
      </c>
      <c r="G578" t="s">
        <v>35</v>
      </c>
      <c r="H578" t="s">
        <v>968</v>
      </c>
      <c r="I578" t="s">
        <v>968</v>
      </c>
      <c r="J578" t="s">
        <v>54</v>
      </c>
      <c r="K578">
        <v>200</v>
      </c>
      <c r="L578">
        <v>7</v>
      </c>
      <c r="M578">
        <v>208</v>
      </c>
      <c r="N578">
        <v>7</v>
      </c>
      <c r="O578" t="s">
        <v>968</v>
      </c>
      <c r="P578" t="s">
        <v>38</v>
      </c>
      <c r="Q578">
        <v>8</v>
      </c>
      <c r="R578">
        <v>0</v>
      </c>
      <c r="S578" t="s">
        <v>1544</v>
      </c>
      <c r="T578" t="s">
        <v>783</v>
      </c>
      <c r="U578" t="s">
        <v>312</v>
      </c>
      <c r="V578" t="s">
        <v>819</v>
      </c>
      <c r="W578" t="s">
        <v>146</v>
      </c>
      <c r="X578" t="s">
        <v>1410</v>
      </c>
      <c r="Y578" t="s">
        <v>45</v>
      </c>
      <c r="Z578">
        <v>20</v>
      </c>
      <c r="AA578">
        <v>6</v>
      </c>
      <c r="AB578" t="s">
        <v>46</v>
      </c>
      <c r="AC578" t="s">
        <v>47</v>
      </c>
      <c r="AD578" t="s">
        <v>1545</v>
      </c>
      <c r="AE578" t="s">
        <v>1546</v>
      </c>
    </row>
    <row r="579" spans="1:31" x14ac:dyDescent="0.2">
      <c r="A579" t="s">
        <v>31</v>
      </c>
      <c r="B579">
        <v>2017</v>
      </c>
      <c r="C579">
        <v>1</v>
      </c>
      <c r="D579" s="1">
        <v>42830</v>
      </c>
      <c r="E579" t="s">
        <v>101</v>
      </c>
      <c r="F579" t="s">
        <v>102</v>
      </c>
      <c r="G579" t="s">
        <v>968</v>
      </c>
      <c r="H579" t="s">
        <v>35</v>
      </c>
      <c r="I579" t="s">
        <v>35</v>
      </c>
      <c r="J579" t="s">
        <v>37</v>
      </c>
      <c r="K579">
        <v>207</v>
      </c>
      <c r="L579">
        <v>4</v>
      </c>
      <c r="M579">
        <v>172</v>
      </c>
      <c r="N579">
        <v>10</v>
      </c>
      <c r="O579" t="s">
        <v>968</v>
      </c>
      <c r="P579" t="s">
        <v>38</v>
      </c>
      <c r="Q579">
        <v>35</v>
      </c>
      <c r="R579">
        <v>0</v>
      </c>
      <c r="S579" t="s">
        <v>346</v>
      </c>
      <c r="T579" t="s">
        <v>40</v>
      </c>
      <c r="U579" t="s">
        <v>1189</v>
      </c>
      <c r="V579" t="s">
        <v>1064</v>
      </c>
      <c r="W579" t="s">
        <v>1410</v>
      </c>
      <c r="X579" t="s">
        <v>1547</v>
      </c>
      <c r="Y579" t="s">
        <v>45</v>
      </c>
      <c r="Z579">
        <v>20</v>
      </c>
      <c r="AA579">
        <v>6</v>
      </c>
      <c r="AB579" t="s">
        <v>46</v>
      </c>
      <c r="AC579" t="s">
        <v>47</v>
      </c>
      <c r="AD579" t="s">
        <v>1548</v>
      </c>
      <c r="AE579" t="s">
        <v>1549</v>
      </c>
    </row>
    <row r="580" spans="1:31" x14ac:dyDescent="0.2">
      <c r="A580" t="s">
        <v>31</v>
      </c>
      <c r="B580">
        <v>2017</v>
      </c>
      <c r="C580">
        <v>2</v>
      </c>
      <c r="D580" s="1">
        <v>42831</v>
      </c>
      <c r="E580" t="s">
        <v>807</v>
      </c>
      <c r="F580" t="s">
        <v>1015</v>
      </c>
      <c r="G580" t="s">
        <v>1550</v>
      </c>
      <c r="H580" t="s">
        <v>87</v>
      </c>
      <c r="I580" t="s">
        <v>1550</v>
      </c>
      <c r="J580" t="s">
        <v>37</v>
      </c>
      <c r="K580">
        <v>187</v>
      </c>
      <c r="L580">
        <v>3</v>
      </c>
      <c r="M580">
        <v>184</v>
      </c>
      <c r="N580">
        <v>8</v>
      </c>
      <c r="O580" t="s">
        <v>1550</v>
      </c>
      <c r="P580" t="s">
        <v>38</v>
      </c>
      <c r="Q580">
        <v>0</v>
      </c>
      <c r="R580">
        <v>7</v>
      </c>
      <c r="S580" t="s">
        <v>789</v>
      </c>
      <c r="T580" t="s">
        <v>1279</v>
      </c>
      <c r="U580" t="s">
        <v>969</v>
      </c>
      <c r="V580" t="s">
        <v>111</v>
      </c>
      <c r="W580" t="s">
        <v>939</v>
      </c>
      <c r="X580" t="s">
        <v>1197</v>
      </c>
      <c r="Y580" t="s">
        <v>45</v>
      </c>
      <c r="Z580">
        <v>20</v>
      </c>
      <c r="AA580">
        <v>6</v>
      </c>
      <c r="AB580" t="s">
        <v>46</v>
      </c>
      <c r="AC580" t="s">
        <v>47</v>
      </c>
      <c r="AD580" t="s">
        <v>1551</v>
      </c>
      <c r="AE580" t="s">
        <v>1552</v>
      </c>
    </row>
    <row r="581" spans="1:31" x14ac:dyDescent="0.2">
      <c r="A581" t="s">
        <v>31</v>
      </c>
      <c r="B581">
        <v>2017</v>
      </c>
      <c r="C581">
        <v>3</v>
      </c>
      <c r="D581" s="1">
        <v>42832</v>
      </c>
      <c r="E581" t="s">
        <v>1422</v>
      </c>
      <c r="F581" t="s">
        <v>1423</v>
      </c>
      <c r="G581" t="s">
        <v>1414</v>
      </c>
      <c r="H581" t="s">
        <v>36</v>
      </c>
      <c r="I581" t="s">
        <v>36</v>
      </c>
      <c r="J581" t="s">
        <v>37</v>
      </c>
      <c r="K581">
        <v>183</v>
      </c>
      <c r="L581">
        <v>4</v>
      </c>
      <c r="M581">
        <v>184</v>
      </c>
      <c r="N581">
        <v>0</v>
      </c>
      <c r="O581" t="s">
        <v>36</v>
      </c>
      <c r="P581" t="s">
        <v>38</v>
      </c>
      <c r="Q581">
        <v>0</v>
      </c>
      <c r="R581">
        <v>10</v>
      </c>
      <c r="S581" t="s">
        <v>1164</v>
      </c>
      <c r="T581" t="s">
        <v>1553</v>
      </c>
      <c r="U581" t="s">
        <v>989</v>
      </c>
      <c r="V581" t="s">
        <v>158</v>
      </c>
      <c r="W581" t="s">
        <v>1417</v>
      </c>
      <c r="X581" t="s">
        <v>174</v>
      </c>
      <c r="Y581" t="s">
        <v>45</v>
      </c>
      <c r="Z581">
        <v>20</v>
      </c>
      <c r="AA581">
        <v>6</v>
      </c>
      <c r="AB581" t="s">
        <v>46</v>
      </c>
      <c r="AC581" t="s">
        <v>47</v>
      </c>
      <c r="AD581" t="s">
        <v>1554</v>
      </c>
      <c r="AE581" t="s">
        <v>1555</v>
      </c>
    </row>
    <row r="582" spans="1:31" x14ac:dyDescent="0.2">
      <c r="A582" t="s">
        <v>31</v>
      </c>
      <c r="B582">
        <v>2017</v>
      </c>
      <c r="C582">
        <v>4</v>
      </c>
      <c r="D582" s="1">
        <v>42833</v>
      </c>
      <c r="E582" t="s">
        <v>740</v>
      </c>
      <c r="F582" t="s">
        <v>741</v>
      </c>
      <c r="G582" t="s">
        <v>52</v>
      </c>
      <c r="H582" t="s">
        <v>1550</v>
      </c>
      <c r="I582" t="s">
        <v>52</v>
      </c>
      <c r="J582" t="s">
        <v>37</v>
      </c>
      <c r="K582">
        <v>164</v>
      </c>
      <c r="L582">
        <v>4</v>
      </c>
      <c r="M582">
        <v>163</v>
      </c>
      <c r="N582">
        <v>6</v>
      </c>
      <c r="O582" t="s">
        <v>52</v>
      </c>
      <c r="P582" t="s">
        <v>38</v>
      </c>
      <c r="Q582">
        <v>0</v>
      </c>
      <c r="R582">
        <v>6</v>
      </c>
      <c r="S582" t="s">
        <v>1146</v>
      </c>
      <c r="T582" t="s">
        <v>1293</v>
      </c>
      <c r="U582" t="s">
        <v>146</v>
      </c>
      <c r="V582" t="s">
        <v>105</v>
      </c>
      <c r="W582" t="s">
        <v>463</v>
      </c>
      <c r="X582" t="s">
        <v>1193</v>
      </c>
      <c r="Y582" t="s">
        <v>45</v>
      </c>
      <c r="Z582">
        <v>20</v>
      </c>
      <c r="AA582">
        <v>6</v>
      </c>
      <c r="AB582" t="s">
        <v>46</v>
      </c>
      <c r="AC582" t="s">
        <v>47</v>
      </c>
      <c r="AD582" t="s">
        <v>1556</v>
      </c>
      <c r="AE582" t="s">
        <v>1557</v>
      </c>
    </row>
    <row r="583" spans="1:31" x14ac:dyDescent="0.2">
      <c r="A583" t="s">
        <v>31</v>
      </c>
      <c r="B583">
        <v>2017</v>
      </c>
      <c r="C583">
        <v>5</v>
      </c>
      <c r="D583" s="1">
        <v>42833</v>
      </c>
      <c r="E583" t="s">
        <v>1558</v>
      </c>
      <c r="F583" t="s">
        <v>1559</v>
      </c>
      <c r="G583" t="s">
        <v>35</v>
      </c>
      <c r="H583" t="s">
        <v>65</v>
      </c>
      <c r="I583" t="s">
        <v>35</v>
      </c>
      <c r="J583" t="s">
        <v>54</v>
      </c>
      <c r="K583">
        <v>157</v>
      </c>
      <c r="L583">
        <v>8</v>
      </c>
      <c r="M583">
        <v>142</v>
      </c>
      <c r="N583">
        <v>9</v>
      </c>
      <c r="O583" t="s">
        <v>35</v>
      </c>
      <c r="P583" t="s">
        <v>38</v>
      </c>
      <c r="Q583">
        <v>15</v>
      </c>
      <c r="R583">
        <v>0</v>
      </c>
      <c r="S583" t="s">
        <v>496</v>
      </c>
      <c r="T583" t="s">
        <v>40</v>
      </c>
      <c r="U583" t="s">
        <v>111</v>
      </c>
      <c r="V583" t="s">
        <v>939</v>
      </c>
      <c r="W583" t="s">
        <v>969</v>
      </c>
      <c r="X583" t="s">
        <v>1197</v>
      </c>
      <c r="Y583" t="s">
        <v>45</v>
      </c>
      <c r="Z583">
        <v>20</v>
      </c>
      <c r="AA583">
        <v>6</v>
      </c>
      <c r="AB583" t="s">
        <v>46</v>
      </c>
      <c r="AC583" t="s">
        <v>47</v>
      </c>
      <c r="AD583" t="s">
        <v>1560</v>
      </c>
      <c r="AE583" t="s">
        <v>1561</v>
      </c>
    </row>
    <row r="584" spans="1:31" x14ac:dyDescent="0.2">
      <c r="A584" t="s">
        <v>31</v>
      </c>
      <c r="B584">
        <v>2017</v>
      </c>
      <c r="C584">
        <v>6</v>
      </c>
      <c r="D584" s="1">
        <v>42834</v>
      </c>
      <c r="E584" t="s">
        <v>101</v>
      </c>
      <c r="F584" t="s">
        <v>102</v>
      </c>
      <c r="G584" t="s">
        <v>968</v>
      </c>
      <c r="H584" t="s">
        <v>1414</v>
      </c>
      <c r="I584" t="s">
        <v>968</v>
      </c>
      <c r="J584" t="s">
        <v>37</v>
      </c>
      <c r="K584">
        <v>140</v>
      </c>
      <c r="L584">
        <v>1</v>
      </c>
      <c r="M584">
        <v>135</v>
      </c>
      <c r="N584">
        <v>7</v>
      </c>
      <c r="O584" t="s">
        <v>968</v>
      </c>
      <c r="P584" t="s">
        <v>38</v>
      </c>
      <c r="Q584">
        <v>0</v>
      </c>
      <c r="R584">
        <v>9</v>
      </c>
      <c r="S584" t="s">
        <v>1562</v>
      </c>
      <c r="T584" t="s">
        <v>1279</v>
      </c>
      <c r="U584" t="s">
        <v>1410</v>
      </c>
      <c r="V584" t="s">
        <v>1064</v>
      </c>
      <c r="W584" t="s">
        <v>1189</v>
      </c>
      <c r="X584" t="s">
        <v>1547</v>
      </c>
      <c r="Y584" t="s">
        <v>45</v>
      </c>
      <c r="Z584">
        <v>20</v>
      </c>
      <c r="AA584">
        <v>6</v>
      </c>
      <c r="AB584" t="s">
        <v>46</v>
      </c>
      <c r="AC584" t="s">
        <v>47</v>
      </c>
      <c r="AD584" t="s">
        <v>1548</v>
      </c>
      <c r="AE584" t="s">
        <v>1563</v>
      </c>
    </row>
    <row r="585" spans="1:31" x14ac:dyDescent="0.2">
      <c r="A585" t="s">
        <v>31</v>
      </c>
      <c r="B585">
        <v>2017</v>
      </c>
      <c r="C585">
        <v>7</v>
      </c>
      <c r="D585" s="1">
        <v>42834</v>
      </c>
      <c r="E585" t="s">
        <v>85</v>
      </c>
      <c r="F585" t="s">
        <v>86</v>
      </c>
      <c r="G585" t="s">
        <v>87</v>
      </c>
      <c r="H585" t="s">
        <v>36</v>
      </c>
      <c r="I585" t="s">
        <v>87</v>
      </c>
      <c r="J585" t="s">
        <v>37</v>
      </c>
      <c r="K585">
        <v>180</v>
      </c>
      <c r="L585">
        <v>6</v>
      </c>
      <c r="M585">
        <v>178</v>
      </c>
      <c r="N585">
        <v>7</v>
      </c>
      <c r="O585" t="s">
        <v>87</v>
      </c>
      <c r="P585" t="s">
        <v>38</v>
      </c>
      <c r="Q585">
        <v>0</v>
      </c>
      <c r="R585">
        <v>4</v>
      </c>
      <c r="S585" t="s">
        <v>1564</v>
      </c>
      <c r="T585" t="s">
        <v>1443</v>
      </c>
      <c r="U585" t="s">
        <v>989</v>
      </c>
      <c r="V585" t="s">
        <v>158</v>
      </c>
      <c r="W585" t="s">
        <v>1417</v>
      </c>
      <c r="X585" t="s">
        <v>174</v>
      </c>
      <c r="Y585" t="s">
        <v>45</v>
      </c>
      <c r="Z585">
        <v>20</v>
      </c>
      <c r="AA585">
        <v>6</v>
      </c>
      <c r="AB585" t="s">
        <v>46</v>
      </c>
      <c r="AC585" t="s">
        <v>47</v>
      </c>
      <c r="AD585" t="s">
        <v>1565</v>
      </c>
      <c r="AE585" t="s">
        <v>1566</v>
      </c>
    </row>
    <row r="586" spans="1:31" x14ac:dyDescent="0.2">
      <c r="A586" t="s">
        <v>31</v>
      </c>
      <c r="B586">
        <v>2017</v>
      </c>
      <c r="C586">
        <v>8</v>
      </c>
      <c r="D586" s="1">
        <v>42835</v>
      </c>
      <c r="E586" t="s">
        <v>740</v>
      </c>
      <c r="F586" t="s">
        <v>741</v>
      </c>
      <c r="G586" t="s">
        <v>52</v>
      </c>
      <c r="H586" t="s">
        <v>35</v>
      </c>
      <c r="I586" t="s">
        <v>35</v>
      </c>
      <c r="J586" t="s">
        <v>54</v>
      </c>
      <c r="K586">
        <v>150</v>
      </c>
      <c r="L586">
        <v>2</v>
      </c>
      <c r="M586">
        <v>148</v>
      </c>
      <c r="N586">
        <v>4</v>
      </c>
      <c r="O586" t="s">
        <v>52</v>
      </c>
      <c r="P586" t="s">
        <v>38</v>
      </c>
      <c r="Q586">
        <v>0</v>
      </c>
      <c r="R586">
        <v>8</v>
      </c>
      <c r="S586" t="s">
        <v>1243</v>
      </c>
      <c r="T586" t="s">
        <v>1293</v>
      </c>
      <c r="U586" t="s">
        <v>146</v>
      </c>
      <c r="V586" t="s">
        <v>105</v>
      </c>
      <c r="W586" t="s">
        <v>463</v>
      </c>
      <c r="X586" t="s">
        <v>1193</v>
      </c>
      <c r="Y586" t="s">
        <v>45</v>
      </c>
      <c r="Z586">
        <v>20</v>
      </c>
      <c r="AA586">
        <v>6</v>
      </c>
      <c r="AB586" t="s">
        <v>46</v>
      </c>
      <c r="AC586" t="s">
        <v>47</v>
      </c>
      <c r="AD586" t="s">
        <v>1567</v>
      </c>
      <c r="AE586" t="s">
        <v>1568</v>
      </c>
    </row>
    <row r="587" spans="1:31" x14ac:dyDescent="0.2">
      <c r="A587" t="s">
        <v>31</v>
      </c>
      <c r="B587">
        <v>2017</v>
      </c>
      <c r="C587">
        <v>9</v>
      </c>
      <c r="D587" s="1">
        <v>42836</v>
      </c>
      <c r="E587" t="s">
        <v>807</v>
      </c>
      <c r="F587" t="s">
        <v>1015</v>
      </c>
      <c r="G587" t="s">
        <v>1550</v>
      </c>
      <c r="H587" t="s">
        <v>65</v>
      </c>
      <c r="I587" t="s">
        <v>1550</v>
      </c>
      <c r="J587" t="s">
        <v>37</v>
      </c>
      <c r="K587">
        <v>108</v>
      </c>
      <c r="L587">
        <v>10</v>
      </c>
      <c r="M587">
        <v>205</v>
      </c>
      <c r="N587">
        <v>4</v>
      </c>
      <c r="O587" t="s">
        <v>65</v>
      </c>
      <c r="P587" t="s">
        <v>38</v>
      </c>
      <c r="Q587">
        <v>97</v>
      </c>
      <c r="R587">
        <v>0</v>
      </c>
      <c r="S587" t="s">
        <v>1055</v>
      </c>
      <c r="T587" t="s">
        <v>40</v>
      </c>
      <c r="U587" t="s">
        <v>1189</v>
      </c>
      <c r="V587" t="s">
        <v>111</v>
      </c>
      <c r="W587" t="s">
        <v>969</v>
      </c>
      <c r="X587" t="s">
        <v>1197</v>
      </c>
      <c r="Y587" t="s">
        <v>45</v>
      </c>
      <c r="Z587">
        <v>20</v>
      </c>
      <c r="AA587">
        <v>6</v>
      </c>
      <c r="AB587" t="s">
        <v>46</v>
      </c>
      <c r="AC587" t="s">
        <v>47</v>
      </c>
      <c r="AD587" t="s">
        <v>1569</v>
      </c>
      <c r="AE587" t="s">
        <v>1570</v>
      </c>
    </row>
    <row r="588" spans="1:31" x14ac:dyDescent="0.2">
      <c r="A588" t="s">
        <v>31</v>
      </c>
      <c r="B588">
        <v>2017</v>
      </c>
      <c r="C588">
        <v>10</v>
      </c>
      <c r="D588" s="1">
        <v>42837</v>
      </c>
      <c r="E588" t="s">
        <v>85</v>
      </c>
      <c r="F588" t="s">
        <v>86</v>
      </c>
      <c r="G588" t="s">
        <v>87</v>
      </c>
      <c r="H588" t="s">
        <v>968</v>
      </c>
      <c r="I588" t="s">
        <v>87</v>
      </c>
      <c r="J588" t="s">
        <v>37</v>
      </c>
      <c r="K588">
        <v>159</v>
      </c>
      <c r="L588">
        <v>6</v>
      </c>
      <c r="M588">
        <v>158</v>
      </c>
      <c r="N588">
        <v>8</v>
      </c>
      <c r="O588" t="s">
        <v>87</v>
      </c>
      <c r="P588" t="s">
        <v>38</v>
      </c>
      <c r="Q588">
        <v>0</v>
      </c>
      <c r="R588">
        <v>4</v>
      </c>
      <c r="S588" t="s">
        <v>1571</v>
      </c>
      <c r="T588" t="s">
        <v>1279</v>
      </c>
      <c r="U588" t="s">
        <v>989</v>
      </c>
      <c r="V588" t="s">
        <v>158</v>
      </c>
      <c r="W588" t="s">
        <v>1417</v>
      </c>
      <c r="X588" t="s">
        <v>174</v>
      </c>
      <c r="Y588" t="s">
        <v>45</v>
      </c>
      <c r="Z588">
        <v>20</v>
      </c>
      <c r="AA588">
        <v>6</v>
      </c>
      <c r="AB588" t="s">
        <v>46</v>
      </c>
      <c r="AC588" t="s">
        <v>47</v>
      </c>
      <c r="AD588" t="s">
        <v>1572</v>
      </c>
      <c r="AE588" t="s">
        <v>1573</v>
      </c>
    </row>
    <row r="589" spans="1:31" x14ac:dyDescent="0.2">
      <c r="A589" t="s">
        <v>31</v>
      </c>
      <c r="B589">
        <v>2017</v>
      </c>
      <c r="C589">
        <v>11</v>
      </c>
      <c r="D589" s="1">
        <v>42838</v>
      </c>
      <c r="E589" t="s">
        <v>75</v>
      </c>
      <c r="F589" t="s">
        <v>76</v>
      </c>
      <c r="G589" t="s">
        <v>36</v>
      </c>
      <c r="H589" t="s">
        <v>52</v>
      </c>
      <c r="I589" t="s">
        <v>36</v>
      </c>
      <c r="J589" t="s">
        <v>37</v>
      </c>
      <c r="K589">
        <v>171</v>
      </c>
      <c r="L589">
        <v>2</v>
      </c>
      <c r="M589">
        <v>170</v>
      </c>
      <c r="N589">
        <v>9</v>
      </c>
      <c r="O589" t="s">
        <v>36</v>
      </c>
      <c r="P589" t="s">
        <v>38</v>
      </c>
      <c r="Q589">
        <v>0</v>
      </c>
      <c r="R589">
        <v>8</v>
      </c>
      <c r="S589" t="s">
        <v>835</v>
      </c>
      <c r="T589" t="s">
        <v>440</v>
      </c>
      <c r="U589" t="s">
        <v>1410</v>
      </c>
      <c r="V589" t="s">
        <v>1064</v>
      </c>
      <c r="W589" t="s">
        <v>1189</v>
      </c>
      <c r="X589" t="s">
        <v>1547</v>
      </c>
      <c r="Y589" t="s">
        <v>45</v>
      </c>
      <c r="Z589">
        <v>20</v>
      </c>
      <c r="AA589">
        <v>6</v>
      </c>
      <c r="AB589" t="s">
        <v>46</v>
      </c>
      <c r="AC589" t="s">
        <v>47</v>
      </c>
      <c r="AD589" t="s">
        <v>1574</v>
      </c>
      <c r="AE589" t="s">
        <v>1575</v>
      </c>
    </row>
    <row r="590" spans="1:31" x14ac:dyDescent="0.2">
      <c r="A590" t="s">
        <v>31</v>
      </c>
      <c r="B590">
        <v>2017</v>
      </c>
      <c r="C590">
        <v>12</v>
      </c>
      <c r="D590" s="1">
        <v>42839</v>
      </c>
      <c r="E590" t="s">
        <v>33</v>
      </c>
      <c r="F590" t="s">
        <v>34</v>
      </c>
      <c r="G590" t="s">
        <v>35</v>
      </c>
      <c r="H590" t="s">
        <v>87</v>
      </c>
      <c r="I590" t="s">
        <v>87</v>
      </c>
      <c r="J590" t="s">
        <v>37</v>
      </c>
      <c r="K590">
        <v>142</v>
      </c>
      <c r="L590">
        <v>5</v>
      </c>
      <c r="M590">
        <v>145</v>
      </c>
      <c r="N590">
        <v>6</v>
      </c>
      <c r="O590" t="s">
        <v>87</v>
      </c>
      <c r="P590" t="s">
        <v>38</v>
      </c>
      <c r="Q590">
        <v>0</v>
      </c>
      <c r="R590">
        <v>4</v>
      </c>
      <c r="S590" t="s">
        <v>568</v>
      </c>
      <c r="T590" t="s">
        <v>1293</v>
      </c>
      <c r="U590" t="s">
        <v>463</v>
      </c>
      <c r="V590" t="s">
        <v>146</v>
      </c>
      <c r="W590" t="s">
        <v>105</v>
      </c>
      <c r="X590" t="s">
        <v>1193</v>
      </c>
      <c r="Y590" t="s">
        <v>45</v>
      </c>
      <c r="Z590">
        <v>20</v>
      </c>
      <c r="AA590">
        <v>6</v>
      </c>
      <c r="AB590" t="s">
        <v>46</v>
      </c>
      <c r="AC590" t="s">
        <v>47</v>
      </c>
      <c r="AD590" t="s">
        <v>1576</v>
      </c>
      <c r="AE590" t="s">
        <v>1577</v>
      </c>
    </row>
    <row r="591" spans="1:31" x14ac:dyDescent="0.2">
      <c r="A591" t="s">
        <v>31</v>
      </c>
      <c r="B591">
        <v>2017</v>
      </c>
      <c r="C591">
        <v>13</v>
      </c>
      <c r="D591" s="1">
        <v>42839</v>
      </c>
      <c r="E591" t="s">
        <v>1422</v>
      </c>
      <c r="F591" t="s">
        <v>1423</v>
      </c>
      <c r="G591" t="s">
        <v>1414</v>
      </c>
      <c r="H591" t="s">
        <v>1550</v>
      </c>
      <c r="I591" t="s">
        <v>1414</v>
      </c>
      <c r="J591" t="s">
        <v>37</v>
      </c>
      <c r="K591">
        <v>172</v>
      </c>
      <c r="L591">
        <v>3</v>
      </c>
      <c r="M591">
        <v>171</v>
      </c>
      <c r="N591">
        <v>8</v>
      </c>
      <c r="O591" t="s">
        <v>1414</v>
      </c>
      <c r="P591" t="s">
        <v>38</v>
      </c>
      <c r="Q591">
        <v>0</v>
      </c>
      <c r="R591">
        <v>7</v>
      </c>
      <c r="S591" t="s">
        <v>1578</v>
      </c>
      <c r="T591" t="s">
        <v>40</v>
      </c>
      <c r="U591" t="s">
        <v>969</v>
      </c>
      <c r="V591" t="s">
        <v>111</v>
      </c>
      <c r="W591" t="s">
        <v>939</v>
      </c>
      <c r="X591" t="s">
        <v>1197</v>
      </c>
      <c r="Y591" t="s">
        <v>45</v>
      </c>
      <c r="Z591">
        <v>20</v>
      </c>
      <c r="AA591">
        <v>6</v>
      </c>
      <c r="AB591" t="s">
        <v>46</v>
      </c>
      <c r="AC591" t="s">
        <v>47</v>
      </c>
      <c r="AD591" t="s">
        <v>1579</v>
      </c>
      <c r="AE591" t="s">
        <v>1580</v>
      </c>
    </row>
    <row r="592" spans="1:31" x14ac:dyDescent="0.2">
      <c r="A592" t="s">
        <v>31</v>
      </c>
      <c r="B592">
        <v>2017</v>
      </c>
      <c r="C592">
        <v>14</v>
      </c>
      <c r="D592" s="1">
        <v>42840</v>
      </c>
      <c r="E592" t="s">
        <v>75</v>
      </c>
      <c r="F592" t="s">
        <v>76</v>
      </c>
      <c r="G592" t="s">
        <v>36</v>
      </c>
      <c r="H592" t="s">
        <v>968</v>
      </c>
      <c r="I592" t="s">
        <v>968</v>
      </c>
      <c r="J592" t="s">
        <v>37</v>
      </c>
      <c r="K592">
        <v>172</v>
      </c>
      <c r="L592">
        <v>6</v>
      </c>
      <c r="M592">
        <v>155</v>
      </c>
      <c r="N592">
        <v>6</v>
      </c>
      <c r="O592" t="s">
        <v>36</v>
      </c>
      <c r="P592" t="s">
        <v>38</v>
      </c>
      <c r="Q592">
        <v>17</v>
      </c>
      <c r="R592">
        <v>0</v>
      </c>
      <c r="S592" t="s">
        <v>490</v>
      </c>
      <c r="T592" t="s">
        <v>440</v>
      </c>
      <c r="U592" t="s">
        <v>1189</v>
      </c>
      <c r="V592" t="s">
        <v>1064</v>
      </c>
      <c r="W592" t="s">
        <v>1410</v>
      </c>
      <c r="X592" t="s">
        <v>1547</v>
      </c>
      <c r="Y592" t="s">
        <v>45</v>
      </c>
      <c r="Z592">
        <v>20</v>
      </c>
      <c r="AA592">
        <v>6</v>
      </c>
      <c r="AB592" t="s">
        <v>46</v>
      </c>
      <c r="AC592" t="s">
        <v>47</v>
      </c>
      <c r="AD592" t="s">
        <v>1581</v>
      </c>
      <c r="AE592" t="s">
        <v>1582</v>
      </c>
    </row>
    <row r="593" spans="1:31" x14ac:dyDescent="0.2">
      <c r="A593" t="s">
        <v>31</v>
      </c>
      <c r="B593">
        <v>2017</v>
      </c>
      <c r="C593">
        <v>15</v>
      </c>
      <c r="D593" s="1">
        <v>42840</v>
      </c>
      <c r="E593" t="s">
        <v>63</v>
      </c>
      <c r="F593" t="s">
        <v>64</v>
      </c>
      <c r="G593" t="s">
        <v>65</v>
      </c>
      <c r="H593" t="s">
        <v>52</v>
      </c>
      <c r="I593" t="s">
        <v>65</v>
      </c>
      <c r="J593" t="s">
        <v>54</v>
      </c>
      <c r="K593">
        <v>188</v>
      </c>
      <c r="L593">
        <v>6</v>
      </c>
      <c r="M593">
        <v>137</v>
      </c>
      <c r="N593">
        <v>9</v>
      </c>
      <c r="O593" t="s">
        <v>65</v>
      </c>
      <c r="P593" t="s">
        <v>38</v>
      </c>
      <c r="Q593">
        <v>51</v>
      </c>
      <c r="R593">
        <v>0</v>
      </c>
      <c r="S593" t="s">
        <v>1192</v>
      </c>
      <c r="T593" t="s">
        <v>1443</v>
      </c>
      <c r="U593" t="s">
        <v>1417</v>
      </c>
      <c r="V593" t="s">
        <v>989</v>
      </c>
      <c r="W593" t="s">
        <v>158</v>
      </c>
      <c r="X593" t="s">
        <v>174</v>
      </c>
      <c r="Y593" t="s">
        <v>45</v>
      </c>
      <c r="Z593">
        <v>20</v>
      </c>
      <c r="AA593">
        <v>6</v>
      </c>
      <c r="AB593" t="s">
        <v>46</v>
      </c>
      <c r="AC593" t="s">
        <v>47</v>
      </c>
      <c r="AD593" t="s">
        <v>1583</v>
      </c>
      <c r="AE593" t="s">
        <v>1584</v>
      </c>
    </row>
    <row r="594" spans="1:31" x14ac:dyDescent="0.2">
      <c r="A594" t="s">
        <v>31</v>
      </c>
      <c r="B594">
        <v>2017</v>
      </c>
      <c r="C594">
        <v>16</v>
      </c>
      <c r="D594" s="1">
        <v>42841</v>
      </c>
      <c r="E594" t="s">
        <v>85</v>
      </c>
      <c r="F594" t="s">
        <v>86</v>
      </c>
      <c r="G594" t="s">
        <v>87</v>
      </c>
      <c r="H594" t="s">
        <v>1414</v>
      </c>
      <c r="I594" t="s">
        <v>87</v>
      </c>
      <c r="J594" t="s">
        <v>37</v>
      </c>
      <c r="K594">
        <v>177</v>
      </c>
      <c r="L594">
        <v>4</v>
      </c>
      <c r="M594">
        <v>176</v>
      </c>
      <c r="N594">
        <v>4</v>
      </c>
      <c r="O594" t="s">
        <v>87</v>
      </c>
      <c r="P594" t="s">
        <v>38</v>
      </c>
      <c r="Q594">
        <v>0</v>
      </c>
      <c r="R594">
        <v>6</v>
      </c>
      <c r="S594" t="s">
        <v>1564</v>
      </c>
      <c r="T594" t="s">
        <v>1279</v>
      </c>
      <c r="U594" t="s">
        <v>969</v>
      </c>
      <c r="V594" t="s">
        <v>111</v>
      </c>
      <c r="W594" t="s">
        <v>939</v>
      </c>
      <c r="X594" t="s">
        <v>1197</v>
      </c>
      <c r="Y594" t="s">
        <v>45</v>
      </c>
      <c r="Z594">
        <v>20</v>
      </c>
      <c r="AA594">
        <v>6</v>
      </c>
      <c r="AB594" t="s">
        <v>46</v>
      </c>
      <c r="AC594" t="s">
        <v>47</v>
      </c>
      <c r="AD594" t="s">
        <v>1585</v>
      </c>
      <c r="AE594" t="s">
        <v>1586</v>
      </c>
    </row>
    <row r="595" spans="1:31" x14ac:dyDescent="0.2">
      <c r="A595" t="s">
        <v>31</v>
      </c>
      <c r="B595">
        <v>2017</v>
      </c>
      <c r="C595">
        <v>17</v>
      </c>
      <c r="D595" s="1">
        <v>42841</v>
      </c>
      <c r="E595" t="s">
        <v>33</v>
      </c>
      <c r="F595" t="s">
        <v>34</v>
      </c>
      <c r="G595" t="s">
        <v>35</v>
      </c>
      <c r="H595" t="s">
        <v>1550</v>
      </c>
      <c r="I595" t="s">
        <v>35</v>
      </c>
      <c r="J595" t="s">
        <v>37</v>
      </c>
      <c r="K595">
        <v>134</v>
      </c>
      <c r="L595">
        <v>9</v>
      </c>
      <c r="M595">
        <v>161</v>
      </c>
      <c r="N595">
        <v>8</v>
      </c>
      <c r="O595" t="s">
        <v>1550</v>
      </c>
      <c r="P595" t="s">
        <v>38</v>
      </c>
      <c r="Q595">
        <v>27</v>
      </c>
      <c r="R595">
        <v>0</v>
      </c>
      <c r="S595" t="s">
        <v>1587</v>
      </c>
      <c r="T595" t="s">
        <v>1293</v>
      </c>
      <c r="U595" t="s">
        <v>463</v>
      </c>
      <c r="V595" t="s">
        <v>105</v>
      </c>
      <c r="W595" t="s">
        <v>146</v>
      </c>
      <c r="X595" t="s">
        <v>1193</v>
      </c>
      <c r="Y595" t="s">
        <v>45</v>
      </c>
      <c r="Z595">
        <v>20</v>
      </c>
      <c r="AA595">
        <v>6</v>
      </c>
      <c r="AB595" t="s">
        <v>46</v>
      </c>
      <c r="AC595" t="s">
        <v>47</v>
      </c>
      <c r="AD595" t="s">
        <v>1588</v>
      </c>
      <c r="AE595" t="s">
        <v>1589</v>
      </c>
    </row>
    <row r="596" spans="1:31" x14ac:dyDescent="0.2">
      <c r="A596" t="s">
        <v>31</v>
      </c>
      <c r="B596">
        <v>2017</v>
      </c>
      <c r="C596">
        <v>18</v>
      </c>
      <c r="D596" s="1">
        <v>42842</v>
      </c>
      <c r="E596" t="s">
        <v>63</v>
      </c>
      <c r="F596" t="s">
        <v>64</v>
      </c>
      <c r="G596" t="s">
        <v>65</v>
      </c>
      <c r="H596" t="s">
        <v>36</v>
      </c>
      <c r="I596" t="s">
        <v>65</v>
      </c>
      <c r="J596" t="s">
        <v>54</v>
      </c>
      <c r="K596">
        <v>168</v>
      </c>
      <c r="L596">
        <v>7</v>
      </c>
      <c r="M596">
        <v>169</v>
      </c>
      <c r="N596">
        <v>6</v>
      </c>
      <c r="O596" t="s">
        <v>36</v>
      </c>
      <c r="P596" t="s">
        <v>38</v>
      </c>
      <c r="Q596">
        <v>0</v>
      </c>
      <c r="R596">
        <v>4</v>
      </c>
      <c r="S596" t="s">
        <v>1343</v>
      </c>
      <c r="T596" t="s">
        <v>1443</v>
      </c>
      <c r="U596" t="s">
        <v>989</v>
      </c>
      <c r="V596" t="s">
        <v>158</v>
      </c>
      <c r="W596" t="s">
        <v>1417</v>
      </c>
      <c r="X596" t="s">
        <v>174</v>
      </c>
      <c r="Y596" t="s">
        <v>45</v>
      </c>
      <c r="Z596">
        <v>20</v>
      </c>
      <c r="AA596">
        <v>6</v>
      </c>
      <c r="AB596" t="s">
        <v>46</v>
      </c>
      <c r="AC596" t="s">
        <v>47</v>
      </c>
      <c r="AD596" t="s">
        <v>1590</v>
      </c>
      <c r="AE596" t="s">
        <v>1591</v>
      </c>
    </row>
    <row r="597" spans="1:31" x14ac:dyDescent="0.2">
      <c r="A597" t="s">
        <v>31</v>
      </c>
      <c r="B597">
        <v>2017</v>
      </c>
      <c r="C597">
        <v>19</v>
      </c>
      <c r="D597" s="1">
        <v>42842</v>
      </c>
      <c r="E597" t="s">
        <v>101</v>
      </c>
      <c r="F597" t="s">
        <v>102</v>
      </c>
      <c r="G597" t="s">
        <v>968</v>
      </c>
      <c r="H597" t="s">
        <v>52</v>
      </c>
      <c r="I597" t="s">
        <v>52</v>
      </c>
      <c r="J597" t="s">
        <v>37</v>
      </c>
      <c r="K597">
        <v>159</v>
      </c>
      <c r="L597">
        <v>6</v>
      </c>
      <c r="M597">
        <v>154</v>
      </c>
      <c r="N597">
        <v>10</v>
      </c>
      <c r="O597" t="s">
        <v>968</v>
      </c>
      <c r="P597" t="s">
        <v>38</v>
      </c>
      <c r="Q597">
        <v>5</v>
      </c>
      <c r="R597">
        <v>0</v>
      </c>
      <c r="S597" t="s">
        <v>1186</v>
      </c>
      <c r="T597" t="s">
        <v>440</v>
      </c>
      <c r="U597" t="s">
        <v>1189</v>
      </c>
      <c r="V597" t="s">
        <v>1410</v>
      </c>
      <c r="W597" t="s">
        <v>1064</v>
      </c>
      <c r="X597" t="s">
        <v>1547</v>
      </c>
      <c r="Y597" t="s">
        <v>45</v>
      </c>
      <c r="Z597">
        <v>20</v>
      </c>
      <c r="AA597">
        <v>6</v>
      </c>
      <c r="AB597" t="s">
        <v>46</v>
      </c>
      <c r="AC597" t="s">
        <v>47</v>
      </c>
      <c r="AD597" t="s">
        <v>1592</v>
      </c>
      <c r="AE597" t="s">
        <v>1593</v>
      </c>
    </row>
    <row r="598" spans="1:31" x14ac:dyDescent="0.2">
      <c r="A598" t="s">
        <v>31</v>
      </c>
      <c r="B598">
        <v>2017</v>
      </c>
      <c r="C598">
        <v>20</v>
      </c>
      <c r="D598" s="1">
        <v>42843</v>
      </c>
      <c r="E598" t="s">
        <v>1422</v>
      </c>
      <c r="F598" t="s">
        <v>1423</v>
      </c>
      <c r="G598" t="s">
        <v>1414</v>
      </c>
      <c r="H598" t="s">
        <v>35</v>
      </c>
      <c r="I598" t="s">
        <v>1414</v>
      </c>
      <c r="J598" t="s">
        <v>37</v>
      </c>
      <c r="K598">
        <v>192</v>
      </c>
      <c r="L598">
        <v>7</v>
      </c>
      <c r="M598">
        <v>213</v>
      </c>
      <c r="N598">
        <v>2</v>
      </c>
      <c r="O598" t="s">
        <v>35</v>
      </c>
      <c r="P598" t="s">
        <v>38</v>
      </c>
      <c r="Q598">
        <v>21</v>
      </c>
      <c r="R598">
        <v>0</v>
      </c>
      <c r="S598" t="s">
        <v>292</v>
      </c>
      <c r="T598" t="s">
        <v>40</v>
      </c>
      <c r="U598" t="s">
        <v>111</v>
      </c>
      <c r="V598" t="s">
        <v>939</v>
      </c>
      <c r="W598" t="s">
        <v>969</v>
      </c>
      <c r="X598" t="s">
        <v>1197</v>
      </c>
      <c r="Y598" t="s">
        <v>45</v>
      </c>
      <c r="Z598">
        <v>20</v>
      </c>
      <c r="AA598">
        <v>6</v>
      </c>
      <c r="AB598" t="s">
        <v>46</v>
      </c>
      <c r="AC598" t="s">
        <v>47</v>
      </c>
      <c r="AD598" t="s">
        <v>1594</v>
      </c>
      <c r="AE598" t="s">
        <v>1595</v>
      </c>
    </row>
    <row r="599" spans="1:31" x14ac:dyDescent="0.2">
      <c r="A599" t="s">
        <v>31</v>
      </c>
      <c r="B599">
        <v>2017</v>
      </c>
      <c r="C599">
        <v>21</v>
      </c>
      <c r="D599" s="1">
        <v>42844</v>
      </c>
      <c r="E599" t="s">
        <v>101</v>
      </c>
      <c r="F599" t="s">
        <v>102</v>
      </c>
      <c r="G599" t="s">
        <v>968</v>
      </c>
      <c r="H599" t="s">
        <v>65</v>
      </c>
      <c r="I599" t="s">
        <v>968</v>
      </c>
      <c r="J599" t="s">
        <v>54</v>
      </c>
      <c r="K599">
        <v>191</v>
      </c>
      <c r="L599">
        <v>4</v>
      </c>
      <c r="M599">
        <v>176</v>
      </c>
      <c r="N599">
        <v>5</v>
      </c>
      <c r="O599" t="s">
        <v>968</v>
      </c>
      <c r="P599" t="s">
        <v>38</v>
      </c>
      <c r="Q599">
        <v>15</v>
      </c>
      <c r="R599">
        <v>0</v>
      </c>
      <c r="S599" t="s">
        <v>1596</v>
      </c>
      <c r="T599" t="s">
        <v>1279</v>
      </c>
      <c r="U599" t="s">
        <v>1283</v>
      </c>
      <c r="V599" t="s">
        <v>1064</v>
      </c>
      <c r="W599" t="s">
        <v>1189</v>
      </c>
      <c r="X599" t="s">
        <v>1547</v>
      </c>
      <c r="Y599" t="s">
        <v>45</v>
      </c>
      <c r="Z599">
        <v>20</v>
      </c>
      <c r="AA599">
        <v>6</v>
      </c>
      <c r="AB599" t="s">
        <v>46</v>
      </c>
      <c r="AC599" t="s">
        <v>47</v>
      </c>
      <c r="AD599" t="s">
        <v>1597</v>
      </c>
      <c r="AE599" t="s">
        <v>1598</v>
      </c>
    </row>
    <row r="600" spans="1:31" x14ac:dyDescent="0.2">
      <c r="A600" t="s">
        <v>31</v>
      </c>
      <c r="B600">
        <v>2017</v>
      </c>
      <c r="C600">
        <v>22</v>
      </c>
      <c r="D600" s="1">
        <v>42845</v>
      </c>
      <c r="E600" t="s">
        <v>740</v>
      </c>
      <c r="F600" t="s">
        <v>741</v>
      </c>
      <c r="G600" t="s">
        <v>52</v>
      </c>
      <c r="H600" t="s">
        <v>87</v>
      </c>
      <c r="I600" t="s">
        <v>87</v>
      </c>
      <c r="J600" t="s">
        <v>37</v>
      </c>
      <c r="K600">
        <v>198</v>
      </c>
      <c r="L600">
        <v>4</v>
      </c>
      <c r="M600">
        <v>199</v>
      </c>
      <c r="N600">
        <v>2</v>
      </c>
      <c r="O600" t="s">
        <v>87</v>
      </c>
      <c r="P600" t="s">
        <v>38</v>
      </c>
      <c r="Q600">
        <v>0</v>
      </c>
      <c r="R600">
        <v>8</v>
      </c>
      <c r="S600" t="s">
        <v>1599</v>
      </c>
      <c r="T600" t="s">
        <v>440</v>
      </c>
      <c r="U600" t="s">
        <v>297</v>
      </c>
      <c r="V600" t="s">
        <v>105</v>
      </c>
      <c r="W600" t="s">
        <v>146</v>
      </c>
      <c r="X600" t="s">
        <v>1193</v>
      </c>
      <c r="Y600" t="s">
        <v>45</v>
      </c>
      <c r="Z600">
        <v>20</v>
      </c>
      <c r="AA600">
        <v>6</v>
      </c>
      <c r="AB600" t="s">
        <v>46</v>
      </c>
      <c r="AC600" t="s">
        <v>47</v>
      </c>
      <c r="AD600" t="s">
        <v>1600</v>
      </c>
      <c r="AE600" t="s">
        <v>1601</v>
      </c>
    </row>
    <row r="601" spans="1:31" x14ac:dyDescent="0.2">
      <c r="A601" t="s">
        <v>31</v>
      </c>
      <c r="B601">
        <v>2017</v>
      </c>
      <c r="C601">
        <v>23</v>
      </c>
      <c r="D601" s="1">
        <v>42846</v>
      </c>
      <c r="E601" t="s">
        <v>75</v>
      </c>
      <c r="F601" t="s">
        <v>76</v>
      </c>
      <c r="G601" t="s">
        <v>36</v>
      </c>
      <c r="H601" t="s">
        <v>1414</v>
      </c>
      <c r="I601" t="s">
        <v>1414</v>
      </c>
      <c r="J601" t="s">
        <v>37</v>
      </c>
      <c r="K601">
        <v>187</v>
      </c>
      <c r="L601">
        <v>5</v>
      </c>
      <c r="M601">
        <v>188</v>
      </c>
      <c r="N601">
        <v>6</v>
      </c>
      <c r="O601" t="s">
        <v>1414</v>
      </c>
      <c r="P601" t="s">
        <v>38</v>
      </c>
      <c r="Q601">
        <v>0</v>
      </c>
      <c r="R601">
        <v>4</v>
      </c>
      <c r="S601" t="s">
        <v>248</v>
      </c>
      <c r="T601" t="s">
        <v>1553</v>
      </c>
      <c r="U601" t="s">
        <v>1283</v>
      </c>
      <c r="V601" t="s">
        <v>989</v>
      </c>
      <c r="W601" t="s">
        <v>158</v>
      </c>
      <c r="X601" t="s">
        <v>174</v>
      </c>
      <c r="Y601" t="s">
        <v>45</v>
      </c>
      <c r="Z601">
        <v>20</v>
      </c>
      <c r="AA601">
        <v>6</v>
      </c>
      <c r="AB601" t="s">
        <v>46</v>
      </c>
      <c r="AC601" t="s">
        <v>47</v>
      </c>
      <c r="AD601" t="s">
        <v>1602</v>
      </c>
      <c r="AE601" t="s">
        <v>1603</v>
      </c>
    </row>
    <row r="602" spans="1:31" x14ac:dyDescent="0.2">
      <c r="A602" t="s">
        <v>31</v>
      </c>
      <c r="B602">
        <v>2017</v>
      </c>
      <c r="C602">
        <v>24</v>
      </c>
      <c r="D602" s="1">
        <v>42847</v>
      </c>
      <c r="E602" t="s">
        <v>807</v>
      </c>
      <c r="F602" t="s">
        <v>1015</v>
      </c>
      <c r="G602" t="s">
        <v>1550</v>
      </c>
      <c r="H602" t="s">
        <v>968</v>
      </c>
      <c r="I602" t="s">
        <v>1550</v>
      </c>
      <c r="J602" t="s">
        <v>37</v>
      </c>
      <c r="K602">
        <v>179</v>
      </c>
      <c r="L602">
        <v>4</v>
      </c>
      <c r="M602">
        <v>176</v>
      </c>
      <c r="N602">
        <v>3</v>
      </c>
      <c r="O602" t="s">
        <v>1550</v>
      </c>
      <c r="P602" t="s">
        <v>38</v>
      </c>
      <c r="Q602">
        <v>0</v>
      </c>
      <c r="R602">
        <v>6</v>
      </c>
      <c r="S602" t="s">
        <v>136</v>
      </c>
      <c r="T602" t="s">
        <v>1279</v>
      </c>
      <c r="U602" t="s">
        <v>1189</v>
      </c>
      <c r="V602" t="s">
        <v>1410</v>
      </c>
      <c r="W602" t="s">
        <v>1064</v>
      </c>
      <c r="X602" t="s">
        <v>1547</v>
      </c>
      <c r="Y602" t="s">
        <v>45</v>
      </c>
      <c r="Z602">
        <v>20</v>
      </c>
      <c r="AA602">
        <v>6</v>
      </c>
      <c r="AB602" t="s">
        <v>46</v>
      </c>
      <c r="AC602" t="s">
        <v>47</v>
      </c>
      <c r="AD602" t="s">
        <v>1604</v>
      </c>
      <c r="AE602" t="s">
        <v>1605</v>
      </c>
    </row>
    <row r="603" spans="1:31" x14ac:dyDescent="0.2">
      <c r="A603" t="s">
        <v>31</v>
      </c>
      <c r="B603">
        <v>2017</v>
      </c>
      <c r="C603">
        <v>25</v>
      </c>
      <c r="D603" s="1">
        <v>42847</v>
      </c>
      <c r="E603" t="s">
        <v>85</v>
      </c>
      <c r="F603" t="s">
        <v>86</v>
      </c>
      <c r="G603" t="s">
        <v>87</v>
      </c>
      <c r="H603" t="s">
        <v>65</v>
      </c>
      <c r="I603" t="s">
        <v>65</v>
      </c>
      <c r="J603" t="s">
        <v>37</v>
      </c>
      <c r="K603">
        <v>142</v>
      </c>
      <c r="L603">
        <v>8</v>
      </c>
      <c r="M603">
        <v>128</v>
      </c>
      <c r="N603">
        <v>7</v>
      </c>
      <c r="O603" t="s">
        <v>87</v>
      </c>
      <c r="P603" t="s">
        <v>38</v>
      </c>
      <c r="Q603">
        <v>14</v>
      </c>
      <c r="R603">
        <v>0</v>
      </c>
      <c r="S603" t="s">
        <v>1397</v>
      </c>
      <c r="T603" t="s">
        <v>40</v>
      </c>
      <c r="U603" t="s">
        <v>969</v>
      </c>
      <c r="V603" t="s">
        <v>111</v>
      </c>
      <c r="W603" t="s">
        <v>463</v>
      </c>
      <c r="X603" t="s">
        <v>1197</v>
      </c>
      <c r="Y603" t="s">
        <v>45</v>
      </c>
      <c r="Z603">
        <v>20</v>
      </c>
      <c r="AA603">
        <v>6</v>
      </c>
      <c r="AB603" t="s">
        <v>46</v>
      </c>
      <c r="AC603" t="s">
        <v>47</v>
      </c>
      <c r="AD603" t="s">
        <v>1606</v>
      </c>
      <c r="AE603" t="s">
        <v>1607</v>
      </c>
    </row>
    <row r="604" spans="1:31" x14ac:dyDescent="0.2">
      <c r="A604" t="s">
        <v>31</v>
      </c>
      <c r="B604">
        <v>2017</v>
      </c>
      <c r="C604">
        <v>26</v>
      </c>
      <c r="D604" s="1">
        <v>42848</v>
      </c>
      <c r="E604" t="s">
        <v>1422</v>
      </c>
      <c r="F604" t="s">
        <v>1423</v>
      </c>
      <c r="G604" t="s">
        <v>1414</v>
      </c>
      <c r="H604" t="s">
        <v>52</v>
      </c>
      <c r="I604" t="s">
        <v>1414</v>
      </c>
      <c r="J604" t="s">
        <v>37</v>
      </c>
      <c r="K604">
        <v>162</v>
      </c>
      <c r="L604">
        <v>7</v>
      </c>
      <c r="M604">
        <v>188</v>
      </c>
      <c r="N604">
        <v>7</v>
      </c>
      <c r="O604" t="s">
        <v>52</v>
      </c>
      <c r="P604" t="s">
        <v>38</v>
      </c>
      <c r="Q604">
        <v>26</v>
      </c>
      <c r="R604">
        <v>0</v>
      </c>
      <c r="S604" t="s">
        <v>1513</v>
      </c>
      <c r="T604" t="s">
        <v>1293</v>
      </c>
      <c r="U604" t="s">
        <v>146</v>
      </c>
      <c r="V604" t="s">
        <v>297</v>
      </c>
      <c r="W604" t="s">
        <v>105</v>
      </c>
      <c r="X604" t="s">
        <v>1193</v>
      </c>
      <c r="Y604" t="s">
        <v>45</v>
      </c>
      <c r="Z604">
        <v>20</v>
      </c>
      <c r="AA604">
        <v>6</v>
      </c>
      <c r="AB604" t="s">
        <v>46</v>
      </c>
      <c r="AC604" t="s">
        <v>47</v>
      </c>
      <c r="AD604" t="s">
        <v>1608</v>
      </c>
      <c r="AE604" t="s">
        <v>1609</v>
      </c>
    </row>
    <row r="605" spans="1:31" x14ac:dyDescent="0.2">
      <c r="A605" t="s">
        <v>31</v>
      </c>
      <c r="B605">
        <v>2017</v>
      </c>
      <c r="C605">
        <v>27</v>
      </c>
      <c r="D605" s="1">
        <v>42848</v>
      </c>
      <c r="E605" t="s">
        <v>75</v>
      </c>
      <c r="F605" t="s">
        <v>76</v>
      </c>
      <c r="G605" t="s">
        <v>36</v>
      </c>
      <c r="H605" t="s">
        <v>35</v>
      </c>
      <c r="I605" t="s">
        <v>35</v>
      </c>
      <c r="J605" t="s">
        <v>37</v>
      </c>
      <c r="K605">
        <v>131</v>
      </c>
      <c r="L605">
        <v>10</v>
      </c>
      <c r="M605">
        <v>49</v>
      </c>
      <c r="N605">
        <v>10</v>
      </c>
      <c r="O605" t="s">
        <v>36</v>
      </c>
      <c r="P605" t="s">
        <v>38</v>
      </c>
      <c r="Q605">
        <v>82</v>
      </c>
      <c r="R605">
        <v>0</v>
      </c>
      <c r="S605" t="s">
        <v>1343</v>
      </c>
      <c r="T605" t="s">
        <v>1553</v>
      </c>
      <c r="U605" t="s">
        <v>1283</v>
      </c>
      <c r="V605" t="s">
        <v>158</v>
      </c>
      <c r="W605" t="s">
        <v>989</v>
      </c>
      <c r="X605" t="s">
        <v>174</v>
      </c>
      <c r="Y605" t="s">
        <v>45</v>
      </c>
      <c r="Z605">
        <v>20</v>
      </c>
      <c r="AA605">
        <v>6</v>
      </c>
      <c r="AB605" t="s">
        <v>46</v>
      </c>
      <c r="AC605" t="s">
        <v>47</v>
      </c>
      <c r="AD605" t="s">
        <v>1610</v>
      </c>
      <c r="AE605" t="s">
        <v>1611</v>
      </c>
    </row>
    <row r="606" spans="1:31" x14ac:dyDescent="0.2">
      <c r="A606" t="s">
        <v>31</v>
      </c>
      <c r="B606">
        <v>2017</v>
      </c>
      <c r="C606">
        <v>28</v>
      </c>
      <c r="D606" s="1">
        <v>42849</v>
      </c>
      <c r="E606" t="s">
        <v>85</v>
      </c>
      <c r="F606" t="s">
        <v>86</v>
      </c>
      <c r="G606" t="s">
        <v>87</v>
      </c>
      <c r="H606" t="s">
        <v>1550</v>
      </c>
      <c r="I606" t="s">
        <v>87</v>
      </c>
      <c r="J606" t="s">
        <v>37</v>
      </c>
      <c r="K606">
        <v>157</v>
      </c>
      <c r="L606">
        <v>8</v>
      </c>
      <c r="M606">
        <v>160</v>
      </c>
      <c r="N606">
        <v>6</v>
      </c>
      <c r="O606" t="s">
        <v>1550</v>
      </c>
      <c r="P606" t="s">
        <v>38</v>
      </c>
      <c r="Q606">
        <v>3</v>
      </c>
      <c r="R606">
        <v>0</v>
      </c>
      <c r="S606" t="s">
        <v>1587</v>
      </c>
      <c r="T606" t="s">
        <v>40</v>
      </c>
      <c r="U606" t="s">
        <v>969</v>
      </c>
      <c r="V606" t="s">
        <v>111</v>
      </c>
      <c r="W606" t="s">
        <v>463</v>
      </c>
      <c r="X606" t="s">
        <v>1197</v>
      </c>
      <c r="Y606" t="s">
        <v>45</v>
      </c>
      <c r="Z606">
        <v>20</v>
      </c>
      <c r="AA606">
        <v>6</v>
      </c>
      <c r="AB606" t="s">
        <v>46</v>
      </c>
      <c r="AC606" t="s">
        <v>47</v>
      </c>
      <c r="AD606" t="s">
        <v>1612</v>
      </c>
      <c r="AE606" t="s">
        <v>1604</v>
      </c>
    </row>
    <row r="607" spans="1:31" x14ac:dyDescent="0.2">
      <c r="A607" t="s">
        <v>31</v>
      </c>
      <c r="B607">
        <v>2017</v>
      </c>
      <c r="C607">
        <v>30</v>
      </c>
      <c r="D607" s="1">
        <v>42851</v>
      </c>
      <c r="E607" t="s">
        <v>807</v>
      </c>
      <c r="F607" t="s">
        <v>1015</v>
      </c>
      <c r="G607" t="s">
        <v>1550</v>
      </c>
      <c r="H607" t="s">
        <v>36</v>
      </c>
      <c r="I607" t="s">
        <v>36</v>
      </c>
      <c r="J607" t="s">
        <v>37</v>
      </c>
      <c r="K607">
        <v>182</v>
      </c>
      <c r="L607">
        <v>5</v>
      </c>
      <c r="M607">
        <v>184</v>
      </c>
      <c r="N607">
        <v>3</v>
      </c>
      <c r="O607" t="s">
        <v>36</v>
      </c>
      <c r="P607" t="s">
        <v>38</v>
      </c>
      <c r="Q607">
        <v>0</v>
      </c>
      <c r="R607">
        <v>7</v>
      </c>
      <c r="S607" t="s">
        <v>490</v>
      </c>
      <c r="T607" t="s">
        <v>440</v>
      </c>
      <c r="U607" t="s">
        <v>1189</v>
      </c>
      <c r="V607" t="s">
        <v>1064</v>
      </c>
      <c r="W607" t="s">
        <v>1283</v>
      </c>
      <c r="X607" t="s">
        <v>1547</v>
      </c>
      <c r="Y607" t="s">
        <v>45</v>
      </c>
      <c r="Z607">
        <v>20</v>
      </c>
      <c r="AA607">
        <v>6</v>
      </c>
      <c r="AB607" t="s">
        <v>46</v>
      </c>
      <c r="AC607" t="s">
        <v>47</v>
      </c>
      <c r="AD607" t="s">
        <v>1613</v>
      </c>
      <c r="AE607" t="s">
        <v>1614</v>
      </c>
    </row>
    <row r="608" spans="1:31" x14ac:dyDescent="0.2">
      <c r="A608" t="s">
        <v>31</v>
      </c>
      <c r="B608">
        <v>2017</v>
      </c>
      <c r="C608">
        <v>31</v>
      </c>
      <c r="D608" s="1">
        <v>42852</v>
      </c>
      <c r="E608" t="s">
        <v>33</v>
      </c>
      <c r="F608" t="s">
        <v>34</v>
      </c>
      <c r="G608" t="s">
        <v>35</v>
      </c>
      <c r="H608" t="s">
        <v>1414</v>
      </c>
      <c r="I608" t="s">
        <v>1414</v>
      </c>
      <c r="J608" t="s">
        <v>37</v>
      </c>
      <c r="K608">
        <v>134</v>
      </c>
      <c r="L608">
        <v>10</v>
      </c>
      <c r="M608">
        <v>135</v>
      </c>
      <c r="N608">
        <v>3</v>
      </c>
      <c r="O608" t="s">
        <v>1414</v>
      </c>
      <c r="P608" t="s">
        <v>38</v>
      </c>
      <c r="Q608">
        <v>0</v>
      </c>
      <c r="R608">
        <v>7</v>
      </c>
      <c r="S608" t="s">
        <v>1578</v>
      </c>
      <c r="T608" t="s">
        <v>1293</v>
      </c>
      <c r="U608" t="s">
        <v>146</v>
      </c>
      <c r="V608" t="s">
        <v>105</v>
      </c>
      <c r="W608" t="s">
        <v>297</v>
      </c>
      <c r="X608" t="s">
        <v>1193</v>
      </c>
      <c r="Y608" t="s">
        <v>45</v>
      </c>
      <c r="Z608">
        <v>20</v>
      </c>
      <c r="AA608">
        <v>6</v>
      </c>
      <c r="AB608" t="s">
        <v>46</v>
      </c>
      <c r="AC608" t="s">
        <v>47</v>
      </c>
      <c r="AD608" t="s">
        <v>1615</v>
      </c>
      <c r="AE608" t="s">
        <v>1616</v>
      </c>
    </row>
    <row r="609" spans="1:31" x14ac:dyDescent="0.2">
      <c r="A609" t="s">
        <v>31</v>
      </c>
      <c r="B609">
        <v>2017</v>
      </c>
      <c r="C609">
        <v>32</v>
      </c>
      <c r="D609" s="1">
        <v>42853</v>
      </c>
      <c r="E609" t="s">
        <v>75</v>
      </c>
      <c r="F609" t="s">
        <v>76</v>
      </c>
      <c r="G609" t="s">
        <v>36</v>
      </c>
      <c r="H609" t="s">
        <v>65</v>
      </c>
      <c r="I609" t="s">
        <v>36</v>
      </c>
      <c r="J609" t="s">
        <v>37</v>
      </c>
      <c r="K609">
        <v>161</v>
      </c>
      <c r="L609">
        <v>3</v>
      </c>
      <c r="M609">
        <v>160</v>
      </c>
      <c r="N609">
        <v>6</v>
      </c>
      <c r="O609" t="s">
        <v>36</v>
      </c>
      <c r="P609" t="s">
        <v>38</v>
      </c>
      <c r="Q609">
        <v>0</v>
      </c>
      <c r="R609">
        <v>7</v>
      </c>
      <c r="S609" t="s">
        <v>366</v>
      </c>
      <c r="T609" t="s">
        <v>440</v>
      </c>
      <c r="U609" t="s">
        <v>1064</v>
      </c>
      <c r="V609" t="s">
        <v>111</v>
      </c>
      <c r="W609" t="s">
        <v>939</v>
      </c>
      <c r="X609" t="s">
        <v>1197</v>
      </c>
      <c r="Y609" t="s">
        <v>45</v>
      </c>
      <c r="Z609">
        <v>20</v>
      </c>
      <c r="AA609">
        <v>6</v>
      </c>
      <c r="AB609" t="s">
        <v>46</v>
      </c>
      <c r="AC609" t="s">
        <v>47</v>
      </c>
      <c r="AD609" t="s">
        <v>1617</v>
      </c>
      <c r="AE609" t="s">
        <v>1618</v>
      </c>
    </row>
    <row r="610" spans="1:31" x14ac:dyDescent="0.2">
      <c r="A610" t="s">
        <v>31</v>
      </c>
      <c r="B610">
        <v>2017</v>
      </c>
      <c r="C610">
        <v>33</v>
      </c>
      <c r="D610" s="1">
        <v>42853</v>
      </c>
      <c r="E610" t="s">
        <v>50</v>
      </c>
      <c r="F610" t="s">
        <v>1413</v>
      </c>
      <c r="G610" t="s">
        <v>52</v>
      </c>
      <c r="H610" t="s">
        <v>968</v>
      </c>
      <c r="I610" t="s">
        <v>52</v>
      </c>
      <c r="J610" t="s">
        <v>37</v>
      </c>
      <c r="K610">
        <v>181</v>
      </c>
      <c r="L610">
        <v>9</v>
      </c>
      <c r="M610">
        <v>207</v>
      </c>
      <c r="N610">
        <v>3</v>
      </c>
      <c r="O610" t="s">
        <v>968</v>
      </c>
      <c r="P610" t="s">
        <v>38</v>
      </c>
      <c r="Q610">
        <v>26</v>
      </c>
      <c r="R610">
        <v>0</v>
      </c>
      <c r="S610" t="s">
        <v>1562</v>
      </c>
      <c r="T610" t="s">
        <v>1443</v>
      </c>
      <c r="U610" t="s">
        <v>989</v>
      </c>
      <c r="V610" t="s">
        <v>158</v>
      </c>
      <c r="W610" t="s">
        <v>1417</v>
      </c>
      <c r="X610" t="s">
        <v>174</v>
      </c>
      <c r="Y610" t="s">
        <v>45</v>
      </c>
      <c r="Z610">
        <v>20</v>
      </c>
      <c r="AA610">
        <v>6</v>
      </c>
      <c r="AB610" t="s">
        <v>46</v>
      </c>
      <c r="AC610" t="s">
        <v>47</v>
      </c>
      <c r="AD610" t="s">
        <v>1619</v>
      </c>
      <c r="AE610" t="s">
        <v>1620</v>
      </c>
    </row>
    <row r="611" spans="1:31" x14ac:dyDescent="0.2">
      <c r="A611" t="s">
        <v>31</v>
      </c>
      <c r="B611">
        <v>2017</v>
      </c>
      <c r="C611">
        <v>34</v>
      </c>
      <c r="D611" s="1">
        <v>42854</v>
      </c>
      <c r="E611" t="s">
        <v>807</v>
      </c>
      <c r="F611" t="s">
        <v>1015</v>
      </c>
      <c r="G611" t="s">
        <v>1550</v>
      </c>
      <c r="H611" t="s">
        <v>35</v>
      </c>
      <c r="I611" t="s">
        <v>35</v>
      </c>
      <c r="J611" t="s">
        <v>37</v>
      </c>
      <c r="K611">
        <v>157</v>
      </c>
      <c r="L611">
        <v>3</v>
      </c>
      <c r="M611">
        <v>96</v>
      </c>
      <c r="N611">
        <v>9</v>
      </c>
      <c r="O611" t="s">
        <v>1550</v>
      </c>
      <c r="P611" t="s">
        <v>38</v>
      </c>
      <c r="Q611">
        <v>61</v>
      </c>
      <c r="R611">
        <v>0</v>
      </c>
      <c r="S611" t="s">
        <v>1621</v>
      </c>
      <c r="T611" t="s">
        <v>1293</v>
      </c>
      <c r="U611" t="s">
        <v>463</v>
      </c>
      <c r="V611" t="s">
        <v>297</v>
      </c>
      <c r="W611" t="s">
        <v>105</v>
      </c>
      <c r="X611" t="s">
        <v>1193</v>
      </c>
      <c r="Y611" t="s">
        <v>45</v>
      </c>
      <c r="Z611">
        <v>20</v>
      </c>
      <c r="AA611">
        <v>6</v>
      </c>
      <c r="AB611" t="s">
        <v>46</v>
      </c>
      <c r="AC611" t="s">
        <v>47</v>
      </c>
      <c r="AD611" t="s">
        <v>1622</v>
      </c>
      <c r="AE611" t="s">
        <v>1623</v>
      </c>
    </row>
    <row r="612" spans="1:31" x14ac:dyDescent="0.2">
      <c r="A612" t="s">
        <v>31</v>
      </c>
      <c r="B612">
        <v>2017</v>
      </c>
      <c r="C612">
        <v>35</v>
      </c>
      <c r="D612" s="1">
        <v>42854</v>
      </c>
      <c r="E612" t="s">
        <v>1422</v>
      </c>
      <c r="F612" t="s">
        <v>1423</v>
      </c>
      <c r="G612" t="s">
        <v>1414</v>
      </c>
      <c r="H612" t="s">
        <v>87</v>
      </c>
      <c r="I612" t="s">
        <v>1414</v>
      </c>
      <c r="J612" t="s">
        <v>54</v>
      </c>
      <c r="K612">
        <v>159</v>
      </c>
      <c r="L612">
        <v>9</v>
      </c>
      <c r="M612">
        <v>164</v>
      </c>
      <c r="N612">
        <v>12</v>
      </c>
      <c r="O612" t="s">
        <v>304</v>
      </c>
      <c r="P612" t="s">
        <v>305</v>
      </c>
      <c r="Q612">
        <v>0</v>
      </c>
      <c r="R612">
        <v>0</v>
      </c>
      <c r="S612" t="s">
        <v>1503</v>
      </c>
      <c r="T612" t="s">
        <v>1279</v>
      </c>
      <c r="U612" t="s">
        <v>146</v>
      </c>
      <c r="V612" t="s">
        <v>1283</v>
      </c>
      <c r="W612" t="s">
        <v>969</v>
      </c>
      <c r="X612" t="s">
        <v>1547</v>
      </c>
      <c r="Y612" t="s">
        <v>45</v>
      </c>
      <c r="Z612">
        <v>20</v>
      </c>
      <c r="AA612">
        <v>6</v>
      </c>
      <c r="AB612" t="s">
        <v>46</v>
      </c>
      <c r="AC612" t="s">
        <v>47</v>
      </c>
      <c r="AD612" t="s">
        <v>1624</v>
      </c>
      <c r="AE612" t="s">
        <v>1625</v>
      </c>
    </row>
    <row r="613" spans="1:31" x14ac:dyDescent="0.2">
      <c r="A613" t="s">
        <v>31</v>
      </c>
      <c r="B613">
        <v>2017</v>
      </c>
      <c r="C613">
        <v>36</v>
      </c>
      <c r="D613" s="1">
        <v>42855</v>
      </c>
      <c r="E613" t="s">
        <v>50</v>
      </c>
      <c r="F613" t="s">
        <v>1413</v>
      </c>
      <c r="G613" t="s">
        <v>52</v>
      </c>
      <c r="H613" t="s">
        <v>65</v>
      </c>
      <c r="I613" t="s">
        <v>52</v>
      </c>
      <c r="J613" t="s">
        <v>37</v>
      </c>
      <c r="K613">
        <v>68</v>
      </c>
      <c r="L613">
        <v>0</v>
      </c>
      <c r="M613">
        <v>67</v>
      </c>
      <c r="N613">
        <v>10</v>
      </c>
      <c r="O613" t="s">
        <v>52</v>
      </c>
      <c r="P613" t="s">
        <v>38</v>
      </c>
      <c r="Q613">
        <v>0</v>
      </c>
      <c r="R613">
        <v>10</v>
      </c>
      <c r="S613" t="s">
        <v>1175</v>
      </c>
      <c r="T613" t="s">
        <v>1443</v>
      </c>
      <c r="U613" t="s">
        <v>1417</v>
      </c>
      <c r="V613" t="s">
        <v>158</v>
      </c>
      <c r="W613" t="s">
        <v>989</v>
      </c>
      <c r="X613" t="s">
        <v>174</v>
      </c>
      <c r="Y613" t="s">
        <v>45</v>
      </c>
      <c r="Z613">
        <v>20</v>
      </c>
      <c r="AA613">
        <v>6</v>
      </c>
      <c r="AB613" t="s">
        <v>46</v>
      </c>
      <c r="AC613" t="s">
        <v>47</v>
      </c>
      <c r="AD613" t="s">
        <v>1626</v>
      </c>
      <c r="AE613" t="s">
        <v>1627</v>
      </c>
    </row>
    <row r="614" spans="1:31" x14ac:dyDescent="0.2">
      <c r="A614" t="s">
        <v>31</v>
      </c>
      <c r="B614">
        <v>2017</v>
      </c>
      <c r="C614">
        <v>37</v>
      </c>
      <c r="D614" s="1">
        <v>42855</v>
      </c>
      <c r="E614" t="s">
        <v>101</v>
      </c>
      <c r="F614" t="s">
        <v>102</v>
      </c>
      <c r="G614" t="s">
        <v>968</v>
      </c>
      <c r="H614" t="s">
        <v>36</v>
      </c>
      <c r="I614" t="s">
        <v>36</v>
      </c>
      <c r="J614" t="s">
        <v>37</v>
      </c>
      <c r="K614">
        <v>209</v>
      </c>
      <c r="L614">
        <v>3</v>
      </c>
      <c r="M614">
        <v>161</v>
      </c>
      <c r="N614">
        <v>7</v>
      </c>
      <c r="O614" t="s">
        <v>968</v>
      </c>
      <c r="P614" t="s">
        <v>38</v>
      </c>
      <c r="Q614">
        <v>48</v>
      </c>
      <c r="R614">
        <v>0</v>
      </c>
      <c r="S614" t="s">
        <v>512</v>
      </c>
      <c r="T614" t="s">
        <v>40</v>
      </c>
      <c r="U614" t="s">
        <v>1189</v>
      </c>
      <c r="V614" t="s">
        <v>111</v>
      </c>
      <c r="W614" t="s">
        <v>939</v>
      </c>
      <c r="X614" t="s">
        <v>1197</v>
      </c>
      <c r="Y614" t="s">
        <v>45</v>
      </c>
      <c r="Z614">
        <v>20</v>
      </c>
      <c r="AA614">
        <v>6</v>
      </c>
      <c r="AB614" t="s">
        <v>46</v>
      </c>
      <c r="AC614" t="s">
        <v>47</v>
      </c>
      <c r="AD614" t="s">
        <v>1628</v>
      </c>
      <c r="AE614" t="s">
        <v>1629</v>
      </c>
    </row>
    <row r="615" spans="1:31" x14ac:dyDescent="0.2">
      <c r="A615" t="s">
        <v>31</v>
      </c>
      <c r="B615">
        <v>2017</v>
      </c>
      <c r="C615">
        <v>38</v>
      </c>
      <c r="D615" s="1">
        <v>42856</v>
      </c>
      <c r="E615" t="s">
        <v>85</v>
      </c>
      <c r="F615" t="s">
        <v>86</v>
      </c>
      <c r="G615" t="s">
        <v>87</v>
      </c>
      <c r="H615" t="s">
        <v>35</v>
      </c>
      <c r="I615" t="s">
        <v>35</v>
      </c>
      <c r="J615" t="s">
        <v>54</v>
      </c>
      <c r="K615">
        <v>165</v>
      </c>
      <c r="L615">
        <v>6</v>
      </c>
      <c r="M615">
        <v>162</v>
      </c>
      <c r="N615">
        <v>8</v>
      </c>
      <c r="O615" t="s">
        <v>87</v>
      </c>
      <c r="P615" t="s">
        <v>38</v>
      </c>
      <c r="Q615">
        <v>0</v>
      </c>
      <c r="R615">
        <v>5</v>
      </c>
      <c r="S615" t="s">
        <v>369</v>
      </c>
      <c r="T615" t="s">
        <v>1279</v>
      </c>
      <c r="U615" t="s">
        <v>146</v>
      </c>
      <c r="V615" t="s">
        <v>1283</v>
      </c>
      <c r="W615" t="s">
        <v>1410</v>
      </c>
      <c r="X615" t="s">
        <v>1547</v>
      </c>
      <c r="Y615" t="s">
        <v>45</v>
      </c>
      <c r="Z615">
        <v>20</v>
      </c>
      <c r="AA615">
        <v>6</v>
      </c>
      <c r="AB615" t="s">
        <v>46</v>
      </c>
      <c r="AC615" t="s">
        <v>47</v>
      </c>
      <c r="AD615" t="s">
        <v>1630</v>
      </c>
      <c r="AE615" t="s">
        <v>1631</v>
      </c>
    </row>
    <row r="616" spans="1:31" x14ac:dyDescent="0.2">
      <c r="A616" t="s">
        <v>31</v>
      </c>
      <c r="B616">
        <v>2017</v>
      </c>
      <c r="C616">
        <v>39</v>
      </c>
      <c r="D616" s="1">
        <v>42856</v>
      </c>
      <c r="E616" t="s">
        <v>807</v>
      </c>
      <c r="F616" t="s">
        <v>1015</v>
      </c>
      <c r="G616" t="s">
        <v>1550</v>
      </c>
      <c r="H616" t="s">
        <v>1414</v>
      </c>
      <c r="I616" t="s">
        <v>1550</v>
      </c>
      <c r="J616" t="s">
        <v>37</v>
      </c>
      <c r="K616">
        <v>167</v>
      </c>
      <c r="L616">
        <v>5</v>
      </c>
      <c r="M616">
        <v>161</v>
      </c>
      <c r="N616">
        <v>10</v>
      </c>
      <c r="O616" t="s">
        <v>1550</v>
      </c>
      <c r="P616" t="s">
        <v>38</v>
      </c>
      <c r="Q616">
        <v>0</v>
      </c>
      <c r="R616">
        <v>5</v>
      </c>
      <c r="S616" t="s">
        <v>1587</v>
      </c>
      <c r="T616" t="s">
        <v>1293</v>
      </c>
      <c r="U616" t="s">
        <v>297</v>
      </c>
      <c r="V616" t="s">
        <v>105</v>
      </c>
      <c r="W616" t="s">
        <v>463</v>
      </c>
      <c r="X616" t="s">
        <v>1193</v>
      </c>
      <c r="Y616" t="s">
        <v>45</v>
      </c>
      <c r="Z616">
        <v>20</v>
      </c>
      <c r="AA616">
        <v>6</v>
      </c>
      <c r="AB616" t="s">
        <v>46</v>
      </c>
      <c r="AC616" t="s">
        <v>47</v>
      </c>
      <c r="AD616" t="s">
        <v>1632</v>
      </c>
      <c r="AE616" t="s">
        <v>1633</v>
      </c>
    </row>
    <row r="617" spans="1:31" x14ac:dyDescent="0.2">
      <c r="A617" t="s">
        <v>31</v>
      </c>
      <c r="B617">
        <v>2017</v>
      </c>
      <c r="C617">
        <v>40</v>
      </c>
      <c r="D617" s="1">
        <v>42857</v>
      </c>
      <c r="E617" t="s">
        <v>63</v>
      </c>
      <c r="F617" t="s">
        <v>64</v>
      </c>
      <c r="G617" t="s">
        <v>65</v>
      </c>
      <c r="H617" t="s">
        <v>968</v>
      </c>
      <c r="I617" t="s">
        <v>65</v>
      </c>
      <c r="J617" t="s">
        <v>37</v>
      </c>
      <c r="K617">
        <v>189</v>
      </c>
      <c r="L617">
        <v>4</v>
      </c>
      <c r="M617">
        <v>185</v>
      </c>
      <c r="N617">
        <v>3</v>
      </c>
      <c r="O617" t="s">
        <v>65</v>
      </c>
      <c r="P617" t="s">
        <v>38</v>
      </c>
      <c r="Q617">
        <v>0</v>
      </c>
      <c r="R617">
        <v>6</v>
      </c>
      <c r="S617" t="s">
        <v>1634</v>
      </c>
      <c r="T617" t="s">
        <v>440</v>
      </c>
      <c r="U617" t="s">
        <v>1417</v>
      </c>
      <c r="V617" t="s">
        <v>989</v>
      </c>
      <c r="W617" t="s">
        <v>158</v>
      </c>
      <c r="X617" t="s">
        <v>174</v>
      </c>
      <c r="Y617" t="s">
        <v>45</v>
      </c>
      <c r="Z617">
        <v>20</v>
      </c>
      <c r="AA617">
        <v>6</v>
      </c>
      <c r="AB617" t="s">
        <v>46</v>
      </c>
      <c r="AC617" t="s">
        <v>47</v>
      </c>
      <c r="AD617" t="s">
        <v>1635</v>
      </c>
      <c r="AE617" t="s">
        <v>1636</v>
      </c>
    </row>
    <row r="618" spans="1:31" x14ac:dyDescent="0.2">
      <c r="A618" t="s">
        <v>31</v>
      </c>
      <c r="B618">
        <v>2017</v>
      </c>
      <c r="C618">
        <v>41</v>
      </c>
      <c r="D618" s="1">
        <v>42858</v>
      </c>
      <c r="E618" t="s">
        <v>75</v>
      </c>
      <c r="F618" t="s">
        <v>76</v>
      </c>
      <c r="G618" t="s">
        <v>36</v>
      </c>
      <c r="H618" t="s">
        <v>1550</v>
      </c>
      <c r="I618" t="s">
        <v>1550</v>
      </c>
      <c r="J618" t="s">
        <v>37</v>
      </c>
      <c r="K618">
        <v>155</v>
      </c>
      <c r="L618">
        <v>8</v>
      </c>
      <c r="M618">
        <v>158</v>
      </c>
      <c r="N618">
        <v>6</v>
      </c>
      <c r="O618" t="s">
        <v>1550</v>
      </c>
      <c r="P618" t="s">
        <v>38</v>
      </c>
      <c r="Q618">
        <v>0</v>
      </c>
      <c r="R618">
        <v>4</v>
      </c>
      <c r="S618" t="s">
        <v>1637</v>
      </c>
      <c r="T618" t="s">
        <v>40</v>
      </c>
      <c r="U618" t="s">
        <v>463</v>
      </c>
      <c r="V618" t="s">
        <v>969</v>
      </c>
      <c r="W618" t="s">
        <v>111</v>
      </c>
      <c r="X618" t="s">
        <v>1197</v>
      </c>
      <c r="Y618" t="s">
        <v>45</v>
      </c>
      <c r="Z618">
        <v>20</v>
      </c>
      <c r="AA618">
        <v>6</v>
      </c>
      <c r="AB618" t="s">
        <v>46</v>
      </c>
      <c r="AC618" t="s">
        <v>47</v>
      </c>
      <c r="AD618" t="s">
        <v>1638</v>
      </c>
      <c r="AE618" t="s">
        <v>1639</v>
      </c>
    </row>
    <row r="619" spans="1:31" x14ac:dyDescent="0.2">
      <c r="A619" t="s">
        <v>31</v>
      </c>
      <c r="B619">
        <v>2017</v>
      </c>
      <c r="C619">
        <v>42</v>
      </c>
      <c r="D619" s="1">
        <v>42859</v>
      </c>
      <c r="E619" t="s">
        <v>63</v>
      </c>
      <c r="F619" t="s">
        <v>64</v>
      </c>
      <c r="G619" t="s">
        <v>65</v>
      </c>
      <c r="H619" t="s">
        <v>1414</v>
      </c>
      <c r="I619" t="s">
        <v>65</v>
      </c>
      <c r="J619" t="s">
        <v>37</v>
      </c>
      <c r="K619">
        <v>214</v>
      </c>
      <c r="L619">
        <v>3</v>
      </c>
      <c r="M619">
        <v>208</v>
      </c>
      <c r="N619">
        <v>7</v>
      </c>
      <c r="O619" t="s">
        <v>65</v>
      </c>
      <c r="P619" t="s">
        <v>38</v>
      </c>
      <c r="Q619">
        <v>0</v>
      </c>
      <c r="R619">
        <v>7</v>
      </c>
      <c r="S619" t="s">
        <v>1482</v>
      </c>
      <c r="T619" t="s">
        <v>1279</v>
      </c>
      <c r="U619" t="s">
        <v>297</v>
      </c>
      <c r="V619" t="s">
        <v>989</v>
      </c>
      <c r="W619" t="s">
        <v>158</v>
      </c>
      <c r="X619" t="s">
        <v>174</v>
      </c>
      <c r="Y619" t="s">
        <v>45</v>
      </c>
      <c r="Z619">
        <v>20</v>
      </c>
      <c r="AA619">
        <v>6</v>
      </c>
      <c r="AB619" t="s">
        <v>46</v>
      </c>
      <c r="AC619" t="s">
        <v>47</v>
      </c>
      <c r="AD619" t="s">
        <v>1640</v>
      </c>
      <c r="AE619" t="s">
        <v>1641</v>
      </c>
    </row>
    <row r="620" spans="1:31" x14ac:dyDescent="0.2">
      <c r="A620" t="s">
        <v>31</v>
      </c>
      <c r="B620">
        <v>2017</v>
      </c>
      <c r="C620">
        <v>43</v>
      </c>
      <c r="D620" s="1">
        <v>42860</v>
      </c>
      <c r="E620" t="s">
        <v>33</v>
      </c>
      <c r="F620" t="s">
        <v>34</v>
      </c>
      <c r="G620" t="s">
        <v>35</v>
      </c>
      <c r="H620" t="s">
        <v>52</v>
      </c>
      <c r="I620" t="s">
        <v>35</v>
      </c>
      <c r="J620" t="s">
        <v>37</v>
      </c>
      <c r="K620">
        <v>119</v>
      </c>
      <c r="L620">
        <v>10</v>
      </c>
      <c r="M620">
        <v>138</v>
      </c>
      <c r="N620">
        <v>7</v>
      </c>
      <c r="O620" t="s">
        <v>52</v>
      </c>
      <c r="P620" t="s">
        <v>38</v>
      </c>
      <c r="Q620">
        <v>19</v>
      </c>
      <c r="R620">
        <v>0</v>
      </c>
      <c r="S620" t="s">
        <v>1175</v>
      </c>
      <c r="T620" t="s">
        <v>1553</v>
      </c>
      <c r="U620" t="s">
        <v>1283</v>
      </c>
      <c r="V620" t="s">
        <v>105</v>
      </c>
      <c r="W620" t="s">
        <v>1189</v>
      </c>
      <c r="X620" t="s">
        <v>1547</v>
      </c>
      <c r="Y620" t="s">
        <v>45</v>
      </c>
      <c r="Z620">
        <v>20</v>
      </c>
      <c r="AA620">
        <v>6</v>
      </c>
      <c r="AB620" t="s">
        <v>46</v>
      </c>
      <c r="AC620" t="s">
        <v>47</v>
      </c>
      <c r="AD620" t="s">
        <v>1642</v>
      </c>
      <c r="AE620" t="s">
        <v>1643</v>
      </c>
    </row>
    <row r="621" spans="1:31" x14ac:dyDescent="0.2">
      <c r="A621" t="s">
        <v>31</v>
      </c>
      <c r="B621">
        <v>2017</v>
      </c>
      <c r="C621">
        <v>44</v>
      </c>
      <c r="D621" s="1">
        <v>42861</v>
      </c>
      <c r="E621" t="s">
        <v>101</v>
      </c>
      <c r="F621" t="s">
        <v>102</v>
      </c>
      <c r="G621" t="s">
        <v>968</v>
      </c>
      <c r="H621" t="s">
        <v>1550</v>
      </c>
      <c r="I621" t="s">
        <v>968</v>
      </c>
      <c r="J621" t="s">
        <v>37</v>
      </c>
      <c r="K621">
        <v>136</v>
      </c>
      <c r="L621">
        <v>9</v>
      </c>
      <c r="M621">
        <v>148</v>
      </c>
      <c r="N621">
        <v>8</v>
      </c>
      <c r="O621" t="s">
        <v>1550</v>
      </c>
      <c r="P621" t="s">
        <v>38</v>
      </c>
      <c r="Q621">
        <v>12</v>
      </c>
      <c r="R621">
        <v>0</v>
      </c>
      <c r="S621" t="s">
        <v>585</v>
      </c>
      <c r="T621" t="s">
        <v>1293</v>
      </c>
      <c r="U621" t="s">
        <v>463</v>
      </c>
      <c r="V621" t="s">
        <v>146</v>
      </c>
      <c r="W621" t="s">
        <v>297</v>
      </c>
      <c r="X621" t="s">
        <v>1193</v>
      </c>
      <c r="Y621" t="s">
        <v>45</v>
      </c>
      <c r="Z621">
        <v>20</v>
      </c>
      <c r="AA621">
        <v>6</v>
      </c>
      <c r="AB621" t="s">
        <v>46</v>
      </c>
      <c r="AC621" t="s">
        <v>47</v>
      </c>
      <c r="AD621" t="s">
        <v>1644</v>
      </c>
      <c r="AE621" t="s">
        <v>1645</v>
      </c>
    </row>
    <row r="622" spans="1:31" x14ac:dyDescent="0.2">
      <c r="A622" t="s">
        <v>31</v>
      </c>
      <c r="B622">
        <v>2017</v>
      </c>
      <c r="C622">
        <v>45</v>
      </c>
      <c r="D622" s="1">
        <v>42861</v>
      </c>
      <c r="E622" t="s">
        <v>63</v>
      </c>
      <c r="F622" t="s">
        <v>64</v>
      </c>
      <c r="G622" t="s">
        <v>65</v>
      </c>
      <c r="H622" t="s">
        <v>87</v>
      </c>
      <c r="I622" t="s">
        <v>65</v>
      </c>
      <c r="J622" t="s">
        <v>37</v>
      </c>
      <c r="K622">
        <v>66</v>
      </c>
      <c r="L622">
        <v>10</v>
      </c>
      <c r="M622">
        <v>212</v>
      </c>
      <c r="N622">
        <v>3</v>
      </c>
      <c r="O622" t="s">
        <v>87</v>
      </c>
      <c r="P622" t="s">
        <v>38</v>
      </c>
      <c r="Q622">
        <v>146</v>
      </c>
      <c r="R622">
        <v>0</v>
      </c>
      <c r="S622" t="s">
        <v>1250</v>
      </c>
      <c r="T622" t="s">
        <v>1279</v>
      </c>
      <c r="U622" t="s">
        <v>989</v>
      </c>
      <c r="V622" t="s">
        <v>158</v>
      </c>
      <c r="W622" t="s">
        <v>1417</v>
      </c>
      <c r="X622" t="s">
        <v>174</v>
      </c>
      <c r="Y622" t="s">
        <v>45</v>
      </c>
      <c r="Z622">
        <v>20</v>
      </c>
      <c r="AA622">
        <v>6</v>
      </c>
      <c r="AB622" t="s">
        <v>46</v>
      </c>
      <c r="AC622" t="s">
        <v>47</v>
      </c>
      <c r="AD622" t="s">
        <v>1646</v>
      </c>
      <c r="AE622" t="s">
        <v>1647</v>
      </c>
    </row>
    <row r="623" spans="1:31" x14ac:dyDescent="0.2">
      <c r="A623" t="s">
        <v>31</v>
      </c>
      <c r="B623">
        <v>2017</v>
      </c>
      <c r="C623">
        <v>46</v>
      </c>
      <c r="D623" s="1">
        <v>42862</v>
      </c>
      <c r="E623" t="s">
        <v>33</v>
      </c>
      <c r="F623" t="s">
        <v>34</v>
      </c>
      <c r="G623" t="s">
        <v>35</v>
      </c>
      <c r="H623" t="s">
        <v>36</v>
      </c>
      <c r="I623" t="s">
        <v>36</v>
      </c>
      <c r="J623" t="s">
        <v>37</v>
      </c>
      <c r="K623">
        <v>158</v>
      </c>
      <c r="L623">
        <v>6</v>
      </c>
      <c r="M623">
        <v>159</v>
      </c>
      <c r="N623">
        <v>4</v>
      </c>
      <c r="O623" t="s">
        <v>36</v>
      </c>
      <c r="P623" t="s">
        <v>38</v>
      </c>
      <c r="Q623">
        <v>0</v>
      </c>
      <c r="R623">
        <v>6</v>
      </c>
      <c r="S623" t="s">
        <v>835</v>
      </c>
      <c r="T623" t="s">
        <v>440</v>
      </c>
      <c r="U623" t="s">
        <v>1189</v>
      </c>
      <c r="V623" t="s">
        <v>105</v>
      </c>
      <c r="W623" t="s">
        <v>1283</v>
      </c>
      <c r="X623" t="s">
        <v>1547</v>
      </c>
      <c r="Y623" t="s">
        <v>45</v>
      </c>
      <c r="Z623">
        <v>20</v>
      </c>
      <c r="AA623">
        <v>6</v>
      </c>
      <c r="AB623" t="s">
        <v>46</v>
      </c>
      <c r="AC623" t="s">
        <v>47</v>
      </c>
      <c r="AD623" t="s">
        <v>1648</v>
      </c>
      <c r="AE623" t="s">
        <v>1649</v>
      </c>
    </row>
    <row r="624" spans="1:31" x14ac:dyDescent="0.2">
      <c r="A624" t="s">
        <v>31</v>
      </c>
      <c r="B624">
        <v>2017</v>
      </c>
      <c r="C624">
        <v>47</v>
      </c>
      <c r="D624" s="1">
        <v>42862</v>
      </c>
      <c r="E624" t="s">
        <v>50</v>
      </c>
      <c r="F624" t="s">
        <v>1413</v>
      </c>
      <c r="G624" t="s">
        <v>52</v>
      </c>
      <c r="H624" t="s">
        <v>1414</v>
      </c>
      <c r="I624" t="s">
        <v>1414</v>
      </c>
      <c r="J624" t="s">
        <v>37</v>
      </c>
      <c r="K624">
        <v>189</v>
      </c>
      <c r="L624">
        <v>3</v>
      </c>
      <c r="M624">
        <v>192</v>
      </c>
      <c r="N624">
        <v>4</v>
      </c>
      <c r="O624" t="s">
        <v>1414</v>
      </c>
      <c r="P624" t="s">
        <v>38</v>
      </c>
      <c r="Q624">
        <v>0</v>
      </c>
      <c r="R624">
        <v>6</v>
      </c>
      <c r="S624" t="s">
        <v>388</v>
      </c>
      <c r="T624" t="s">
        <v>40</v>
      </c>
      <c r="U624" t="s">
        <v>969</v>
      </c>
      <c r="V624" t="s">
        <v>939</v>
      </c>
      <c r="W624" t="s">
        <v>111</v>
      </c>
      <c r="X624" t="s">
        <v>1197</v>
      </c>
      <c r="Y624" t="s">
        <v>45</v>
      </c>
      <c r="Z624">
        <v>20</v>
      </c>
      <c r="AA624">
        <v>6</v>
      </c>
      <c r="AB624" t="s">
        <v>46</v>
      </c>
      <c r="AC624" t="s">
        <v>47</v>
      </c>
      <c r="AD624" t="s">
        <v>1650</v>
      </c>
      <c r="AE624" t="s">
        <v>1651</v>
      </c>
    </row>
    <row r="625" spans="1:31" x14ac:dyDescent="0.2">
      <c r="A625" t="s">
        <v>31</v>
      </c>
      <c r="B625">
        <v>2017</v>
      </c>
      <c r="C625">
        <v>48</v>
      </c>
      <c r="D625" s="1">
        <v>42863</v>
      </c>
      <c r="E625" t="s">
        <v>101</v>
      </c>
      <c r="F625" t="s">
        <v>102</v>
      </c>
      <c r="G625" t="s">
        <v>968</v>
      </c>
      <c r="H625" t="s">
        <v>87</v>
      </c>
      <c r="I625" t="s">
        <v>87</v>
      </c>
      <c r="J625" t="s">
        <v>54</v>
      </c>
      <c r="K625">
        <v>140</v>
      </c>
      <c r="L625">
        <v>3</v>
      </c>
      <c r="M625">
        <v>138</v>
      </c>
      <c r="N625">
        <v>7</v>
      </c>
      <c r="O625" t="s">
        <v>968</v>
      </c>
      <c r="P625" t="s">
        <v>38</v>
      </c>
      <c r="Q625">
        <v>0</v>
      </c>
      <c r="R625">
        <v>7</v>
      </c>
      <c r="S625" t="s">
        <v>763</v>
      </c>
      <c r="T625" t="s">
        <v>1293</v>
      </c>
      <c r="U625" t="s">
        <v>463</v>
      </c>
      <c r="V625" t="s">
        <v>297</v>
      </c>
      <c r="W625" t="s">
        <v>146</v>
      </c>
      <c r="X625" t="s">
        <v>1193</v>
      </c>
      <c r="Y625" t="s">
        <v>45</v>
      </c>
      <c r="Z625">
        <v>20</v>
      </c>
      <c r="AA625">
        <v>6</v>
      </c>
      <c r="AB625" t="s">
        <v>46</v>
      </c>
      <c r="AC625" t="s">
        <v>47</v>
      </c>
      <c r="AD625" t="s">
        <v>1652</v>
      </c>
      <c r="AE625" t="s">
        <v>1653</v>
      </c>
    </row>
    <row r="626" spans="1:31" x14ac:dyDescent="0.2">
      <c r="A626" t="s">
        <v>31</v>
      </c>
      <c r="B626">
        <v>2017</v>
      </c>
      <c r="C626">
        <v>49</v>
      </c>
      <c r="D626" s="1">
        <v>42864</v>
      </c>
      <c r="E626" t="s">
        <v>50</v>
      </c>
      <c r="F626" t="s">
        <v>1413</v>
      </c>
      <c r="G626" t="s">
        <v>52</v>
      </c>
      <c r="H626" t="s">
        <v>36</v>
      </c>
      <c r="I626" t="s">
        <v>36</v>
      </c>
      <c r="J626" t="s">
        <v>37</v>
      </c>
      <c r="K626">
        <v>167</v>
      </c>
      <c r="L626">
        <v>6</v>
      </c>
      <c r="M626">
        <v>153</v>
      </c>
      <c r="N626">
        <v>6</v>
      </c>
      <c r="O626" t="s">
        <v>52</v>
      </c>
      <c r="P626" t="s">
        <v>38</v>
      </c>
      <c r="Q626">
        <v>14</v>
      </c>
      <c r="R626">
        <v>0</v>
      </c>
      <c r="S626" t="s">
        <v>1169</v>
      </c>
      <c r="T626" t="s">
        <v>40</v>
      </c>
      <c r="U626" t="s">
        <v>969</v>
      </c>
      <c r="V626" t="s">
        <v>111</v>
      </c>
      <c r="W626" t="s">
        <v>939</v>
      </c>
      <c r="X626" t="s">
        <v>1197</v>
      </c>
      <c r="Y626" t="s">
        <v>45</v>
      </c>
      <c r="Z626">
        <v>20</v>
      </c>
      <c r="AA626">
        <v>6</v>
      </c>
      <c r="AB626" t="s">
        <v>46</v>
      </c>
      <c r="AC626" t="s">
        <v>47</v>
      </c>
      <c r="AD626" t="s">
        <v>1654</v>
      </c>
      <c r="AE626" t="s">
        <v>1655</v>
      </c>
    </row>
    <row r="627" spans="1:31" x14ac:dyDescent="0.2">
      <c r="A627" t="s">
        <v>31</v>
      </c>
      <c r="B627">
        <v>2017</v>
      </c>
      <c r="C627">
        <v>50</v>
      </c>
      <c r="D627" s="1">
        <v>42865</v>
      </c>
      <c r="E627" t="s">
        <v>1524</v>
      </c>
      <c r="F627" t="s">
        <v>1525</v>
      </c>
      <c r="G627" t="s">
        <v>1414</v>
      </c>
      <c r="H627" t="s">
        <v>65</v>
      </c>
      <c r="I627" t="s">
        <v>65</v>
      </c>
      <c r="J627" t="s">
        <v>37</v>
      </c>
      <c r="K627">
        <v>195</v>
      </c>
      <c r="L627">
        <v>5</v>
      </c>
      <c r="M627">
        <v>197</v>
      </c>
      <c r="N627">
        <v>8</v>
      </c>
      <c r="O627" t="s">
        <v>65</v>
      </c>
      <c r="P627" t="s">
        <v>38</v>
      </c>
      <c r="Q627">
        <v>0</v>
      </c>
      <c r="R627">
        <v>2</v>
      </c>
      <c r="S627" t="s">
        <v>1322</v>
      </c>
      <c r="T627" t="s">
        <v>1553</v>
      </c>
      <c r="U627" t="s">
        <v>1417</v>
      </c>
      <c r="V627" t="s">
        <v>146</v>
      </c>
      <c r="W627" t="s">
        <v>989</v>
      </c>
      <c r="X627" t="s">
        <v>174</v>
      </c>
      <c r="Y627" t="s">
        <v>45</v>
      </c>
      <c r="Z627">
        <v>20</v>
      </c>
      <c r="AA627">
        <v>6</v>
      </c>
      <c r="AB627" t="s">
        <v>46</v>
      </c>
      <c r="AC627" t="s">
        <v>47</v>
      </c>
      <c r="AD627" t="s">
        <v>1651</v>
      </c>
      <c r="AE627" t="s">
        <v>1656</v>
      </c>
    </row>
    <row r="628" spans="1:31" x14ac:dyDescent="0.2">
      <c r="A628" t="s">
        <v>31</v>
      </c>
      <c r="B628">
        <v>2017</v>
      </c>
      <c r="C628">
        <v>51</v>
      </c>
      <c r="D628" s="1">
        <v>42866</v>
      </c>
      <c r="E628" t="s">
        <v>85</v>
      </c>
      <c r="F628" t="s">
        <v>86</v>
      </c>
      <c r="G628" t="s">
        <v>87</v>
      </c>
      <c r="H628" t="s">
        <v>52</v>
      </c>
      <c r="I628" t="s">
        <v>87</v>
      </c>
      <c r="J628" t="s">
        <v>37</v>
      </c>
      <c r="K628">
        <v>223</v>
      </c>
      <c r="L628">
        <v>6</v>
      </c>
      <c r="M628">
        <v>230</v>
      </c>
      <c r="N628">
        <v>3</v>
      </c>
      <c r="O628" t="s">
        <v>52</v>
      </c>
      <c r="P628" t="s">
        <v>38</v>
      </c>
      <c r="Q628">
        <v>7</v>
      </c>
      <c r="R628">
        <v>0</v>
      </c>
      <c r="S628" t="s">
        <v>756</v>
      </c>
      <c r="T628" t="s">
        <v>1279</v>
      </c>
      <c r="U628" t="s">
        <v>1410</v>
      </c>
      <c r="V628" t="s">
        <v>969</v>
      </c>
      <c r="W628" t="s">
        <v>939</v>
      </c>
      <c r="X628" t="s">
        <v>1547</v>
      </c>
      <c r="Y628" t="s">
        <v>45</v>
      </c>
      <c r="Z628">
        <v>20</v>
      </c>
      <c r="AA628">
        <v>6</v>
      </c>
      <c r="AB628" t="s">
        <v>46</v>
      </c>
      <c r="AC628" t="s">
        <v>47</v>
      </c>
      <c r="AD628" t="s">
        <v>1657</v>
      </c>
      <c r="AE628" t="s">
        <v>1658</v>
      </c>
    </row>
    <row r="629" spans="1:31" x14ac:dyDescent="0.2">
      <c r="A629" t="s">
        <v>31</v>
      </c>
      <c r="B629">
        <v>2017</v>
      </c>
      <c r="C629">
        <v>52</v>
      </c>
      <c r="D629" s="1">
        <v>42867</v>
      </c>
      <c r="E629" t="s">
        <v>63</v>
      </c>
      <c r="F629" t="s">
        <v>64</v>
      </c>
      <c r="G629" t="s">
        <v>65</v>
      </c>
      <c r="H629" t="s">
        <v>1550</v>
      </c>
      <c r="I629" t="s">
        <v>65</v>
      </c>
      <c r="J629" t="s">
        <v>54</v>
      </c>
      <c r="K629">
        <v>168</v>
      </c>
      <c r="L629">
        <v>8</v>
      </c>
      <c r="M629">
        <v>161</v>
      </c>
      <c r="N629">
        <v>7</v>
      </c>
      <c r="O629" t="s">
        <v>65</v>
      </c>
      <c r="P629" t="s">
        <v>38</v>
      </c>
      <c r="Q629">
        <v>7</v>
      </c>
      <c r="R629">
        <v>0</v>
      </c>
      <c r="S629" t="s">
        <v>1196</v>
      </c>
      <c r="T629" t="s">
        <v>440</v>
      </c>
      <c r="U629" t="s">
        <v>463</v>
      </c>
      <c r="V629" t="s">
        <v>158</v>
      </c>
      <c r="W629" t="s">
        <v>105</v>
      </c>
      <c r="X629" t="s">
        <v>1193</v>
      </c>
      <c r="Y629" t="s">
        <v>45</v>
      </c>
      <c r="Z629">
        <v>20</v>
      </c>
      <c r="AA629">
        <v>6</v>
      </c>
      <c r="AB629" t="s">
        <v>46</v>
      </c>
      <c r="AC629" t="s">
        <v>47</v>
      </c>
      <c r="AD629" t="s">
        <v>1659</v>
      </c>
      <c r="AE629" t="s">
        <v>1660</v>
      </c>
    </row>
    <row r="630" spans="1:31" x14ac:dyDescent="0.2">
      <c r="A630" t="s">
        <v>31</v>
      </c>
      <c r="B630">
        <v>2017</v>
      </c>
      <c r="C630">
        <v>53</v>
      </c>
      <c r="D630" s="1">
        <v>42868</v>
      </c>
      <c r="E630" t="s">
        <v>1524</v>
      </c>
      <c r="F630" t="s">
        <v>1525</v>
      </c>
      <c r="G630" t="s">
        <v>1414</v>
      </c>
      <c r="H630" t="s">
        <v>968</v>
      </c>
      <c r="I630" t="s">
        <v>968</v>
      </c>
      <c r="J630" t="s">
        <v>37</v>
      </c>
      <c r="K630">
        <v>154</v>
      </c>
      <c r="L630">
        <v>10</v>
      </c>
      <c r="M630">
        <v>158</v>
      </c>
      <c r="N630">
        <v>2</v>
      </c>
      <c r="O630" t="s">
        <v>968</v>
      </c>
      <c r="P630" t="s">
        <v>38</v>
      </c>
      <c r="Q630">
        <v>0</v>
      </c>
      <c r="R630">
        <v>8</v>
      </c>
      <c r="S630" t="s">
        <v>1661</v>
      </c>
      <c r="T630" t="s">
        <v>1293</v>
      </c>
      <c r="U630" t="s">
        <v>146</v>
      </c>
      <c r="V630" t="s">
        <v>989</v>
      </c>
      <c r="W630" t="s">
        <v>1417</v>
      </c>
      <c r="X630" t="s">
        <v>174</v>
      </c>
      <c r="Y630" t="s">
        <v>45</v>
      </c>
      <c r="Z630">
        <v>20</v>
      </c>
      <c r="AA630">
        <v>6</v>
      </c>
      <c r="AB630" t="s">
        <v>46</v>
      </c>
      <c r="AC630" t="s">
        <v>47</v>
      </c>
      <c r="AD630" t="s">
        <v>1662</v>
      </c>
      <c r="AE630" t="s">
        <v>1663</v>
      </c>
    </row>
    <row r="631" spans="1:31" x14ac:dyDescent="0.2">
      <c r="A631" t="s">
        <v>31</v>
      </c>
      <c r="B631">
        <v>2017</v>
      </c>
      <c r="C631">
        <v>54</v>
      </c>
      <c r="D631" s="1">
        <v>42868</v>
      </c>
      <c r="E631" t="s">
        <v>75</v>
      </c>
      <c r="F631" t="s">
        <v>76</v>
      </c>
      <c r="G631" t="s">
        <v>36</v>
      </c>
      <c r="H631" t="s">
        <v>87</v>
      </c>
      <c r="I631" t="s">
        <v>36</v>
      </c>
      <c r="J631" t="s">
        <v>37</v>
      </c>
      <c r="K631">
        <v>164</v>
      </c>
      <c r="L631">
        <v>8</v>
      </c>
      <c r="M631">
        <v>173</v>
      </c>
      <c r="N631">
        <v>5</v>
      </c>
      <c r="O631" t="s">
        <v>87</v>
      </c>
      <c r="P631" t="s">
        <v>38</v>
      </c>
      <c r="Q631">
        <v>9</v>
      </c>
      <c r="R631">
        <v>0</v>
      </c>
      <c r="S631" t="s">
        <v>530</v>
      </c>
      <c r="T631" t="s">
        <v>40</v>
      </c>
      <c r="U631" t="s">
        <v>969</v>
      </c>
      <c r="V631" t="s">
        <v>111</v>
      </c>
      <c r="W631" t="s">
        <v>939</v>
      </c>
      <c r="X631" t="s">
        <v>1197</v>
      </c>
      <c r="Y631" t="s">
        <v>45</v>
      </c>
      <c r="Z631">
        <v>20</v>
      </c>
      <c r="AA631">
        <v>6</v>
      </c>
      <c r="AB631" t="s">
        <v>46</v>
      </c>
      <c r="AC631" t="s">
        <v>47</v>
      </c>
      <c r="AD631" t="s">
        <v>1664</v>
      </c>
      <c r="AE631" t="s">
        <v>1665</v>
      </c>
    </row>
    <row r="632" spans="1:31" x14ac:dyDescent="0.2">
      <c r="A632" t="s">
        <v>31</v>
      </c>
      <c r="B632">
        <v>2017</v>
      </c>
      <c r="C632">
        <v>55</v>
      </c>
      <c r="D632" s="1">
        <v>42869</v>
      </c>
      <c r="E632" t="s">
        <v>807</v>
      </c>
      <c r="F632" t="s">
        <v>1015</v>
      </c>
      <c r="G632" t="s">
        <v>1550</v>
      </c>
      <c r="H632" t="s">
        <v>52</v>
      </c>
      <c r="I632" t="s">
        <v>1550</v>
      </c>
      <c r="J632" t="s">
        <v>37</v>
      </c>
      <c r="K632">
        <v>78</v>
      </c>
      <c r="L632">
        <v>1</v>
      </c>
      <c r="M632">
        <v>73</v>
      </c>
      <c r="N632">
        <v>10</v>
      </c>
      <c r="O632" t="s">
        <v>1550</v>
      </c>
      <c r="P632" t="s">
        <v>38</v>
      </c>
      <c r="Q632">
        <v>0</v>
      </c>
      <c r="R632">
        <v>9</v>
      </c>
      <c r="S632" t="s">
        <v>585</v>
      </c>
      <c r="T632" t="s">
        <v>1279</v>
      </c>
      <c r="U632" t="s">
        <v>1189</v>
      </c>
      <c r="V632" t="s">
        <v>1410</v>
      </c>
      <c r="W632" t="s">
        <v>463</v>
      </c>
      <c r="X632" t="s">
        <v>1547</v>
      </c>
      <c r="Y632" t="s">
        <v>45</v>
      </c>
      <c r="Z632">
        <v>20</v>
      </c>
      <c r="AA632">
        <v>6</v>
      </c>
      <c r="AB632" t="s">
        <v>46</v>
      </c>
      <c r="AC632" t="s">
        <v>47</v>
      </c>
      <c r="AD632" t="s">
        <v>1666</v>
      </c>
      <c r="AE632" t="s">
        <v>1667</v>
      </c>
    </row>
    <row r="633" spans="1:31" x14ac:dyDescent="0.2">
      <c r="A633" t="s">
        <v>31</v>
      </c>
      <c r="B633">
        <v>2017</v>
      </c>
      <c r="C633">
        <v>56</v>
      </c>
      <c r="D633" s="1">
        <v>42869</v>
      </c>
      <c r="E633" t="s">
        <v>63</v>
      </c>
      <c r="F633" t="s">
        <v>64</v>
      </c>
      <c r="G633" t="s">
        <v>65</v>
      </c>
      <c r="H633" t="s">
        <v>35</v>
      </c>
      <c r="I633" t="s">
        <v>35</v>
      </c>
      <c r="J633" t="s">
        <v>54</v>
      </c>
      <c r="K633">
        <v>151</v>
      </c>
      <c r="L633">
        <v>10</v>
      </c>
      <c r="M633">
        <v>161</v>
      </c>
      <c r="N633">
        <v>6</v>
      </c>
      <c r="O633" t="s">
        <v>35</v>
      </c>
      <c r="P633" t="s">
        <v>38</v>
      </c>
      <c r="Q633">
        <v>10</v>
      </c>
      <c r="R633">
        <v>0</v>
      </c>
      <c r="S633" t="s">
        <v>1668</v>
      </c>
      <c r="T633" t="s">
        <v>440</v>
      </c>
      <c r="U633" t="s">
        <v>158</v>
      </c>
      <c r="V633" t="s">
        <v>105</v>
      </c>
      <c r="W633" t="s">
        <v>463</v>
      </c>
      <c r="X633" t="s">
        <v>1193</v>
      </c>
      <c r="Y633" t="s">
        <v>45</v>
      </c>
      <c r="Z633">
        <v>20</v>
      </c>
      <c r="AA633">
        <v>6</v>
      </c>
      <c r="AB633" t="s">
        <v>46</v>
      </c>
      <c r="AC633" t="s">
        <v>47</v>
      </c>
      <c r="AD633" t="s">
        <v>1659</v>
      </c>
      <c r="AE633" t="s">
        <v>1669</v>
      </c>
    </row>
    <row r="634" spans="1:31" x14ac:dyDescent="0.2">
      <c r="A634" t="s">
        <v>31</v>
      </c>
      <c r="B634">
        <v>2017</v>
      </c>
      <c r="C634" t="s">
        <v>256</v>
      </c>
      <c r="D634" s="1">
        <v>42871</v>
      </c>
      <c r="E634" t="s">
        <v>85</v>
      </c>
      <c r="F634" t="s">
        <v>86</v>
      </c>
      <c r="G634" t="s">
        <v>87</v>
      </c>
      <c r="H634" t="s">
        <v>1550</v>
      </c>
      <c r="I634" t="s">
        <v>87</v>
      </c>
      <c r="J634" t="s">
        <v>37</v>
      </c>
      <c r="K634">
        <v>142</v>
      </c>
      <c r="L634">
        <v>9</v>
      </c>
      <c r="M634">
        <v>162</v>
      </c>
      <c r="N634">
        <v>4</v>
      </c>
      <c r="O634" t="s">
        <v>1550</v>
      </c>
      <c r="P634" t="s">
        <v>38</v>
      </c>
      <c r="Q634">
        <v>20</v>
      </c>
      <c r="R634">
        <v>0</v>
      </c>
      <c r="S634" t="s">
        <v>1670</v>
      </c>
      <c r="T634" t="s">
        <v>40</v>
      </c>
      <c r="U634" t="s">
        <v>111</v>
      </c>
      <c r="V634" t="s">
        <v>105</v>
      </c>
      <c r="W634" t="s">
        <v>158</v>
      </c>
      <c r="X634" t="s">
        <v>1417</v>
      </c>
      <c r="Y634" t="s">
        <v>45</v>
      </c>
      <c r="Z634">
        <v>20</v>
      </c>
      <c r="AA634">
        <v>6</v>
      </c>
      <c r="AB634" t="s">
        <v>46</v>
      </c>
      <c r="AC634" t="s">
        <v>47</v>
      </c>
      <c r="AD634" t="s">
        <v>1671</v>
      </c>
      <c r="AE634" t="s">
        <v>1672</v>
      </c>
    </row>
    <row r="635" spans="1:31" x14ac:dyDescent="0.2">
      <c r="A635" t="s">
        <v>31</v>
      </c>
      <c r="B635">
        <v>2017</v>
      </c>
      <c r="C635" t="s">
        <v>256</v>
      </c>
      <c r="D635" s="1">
        <v>42872</v>
      </c>
      <c r="E635" t="s">
        <v>33</v>
      </c>
      <c r="F635" t="s">
        <v>34</v>
      </c>
      <c r="G635" t="s">
        <v>968</v>
      </c>
      <c r="H635" t="s">
        <v>36</v>
      </c>
      <c r="I635" t="s">
        <v>36</v>
      </c>
      <c r="J635" t="s">
        <v>37</v>
      </c>
      <c r="K635">
        <v>128</v>
      </c>
      <c r="L635">
        <v>7</v>
      </c>
      <c r="M635">
        <v>48</v>
      </c>
      <c r="N635">
        <v>3</v>
      </c>
      <c r="O635" t="s">
        <v>36</v>
      </c>
      <c r="P635" t="s">
        <v>38</v>
      </c>
      <c r="Q635">
        <v>0</v>
      </c>
      <c r="R635">
        <v>7</v>
      </c>
      <c r="S635" t="s">
        <v>1343</v>
      </c>
      <c r="T635" t="s">
        <v>1279</v>
      </c>
      <c r="U635" t="s">
        <v>146</v>
      </c>
      <c r="V635" t="s">
        <v>989</v>
      </c>
      <c r="W635" t="s">
        <v>969</v>
      </c>
      <c r="X635" t="s">
        <v>463</v>
      </c>
      <c r="Y635" t="s">
        <v>45</v>
      </c>
      <c r="Z635">
        <v>20</v>
      </c>
      <c r="AA635">
        <v>6</v>
      </c>
      <c r="AB635" t="s">
        <v>46</v>
      </c>
      <c r="AC635" t="s">
        <v>47</v>
      </c>
      <c r="AD635" t="s">
        <v>1673</v>
      </c>
      <c r="AE635" t="s">
        <v>1674</v>
      </c>
    </row>
    <row r="636" spans="1:31" x14ac:dyDescent="0.2">
      <c r="A636" t="s">
        <v>31</v>
      </c>
      <c r="B636">
        <v>2017</v>
      </c>
      <c r="C636" t="s">
        <v>256</v>
      </c>
      <c r="D636" s="1">
        <v>42874</v>
      </c>
      <c r="E636" t="s">
        <v>33</v>
      </c>
      <c r="F636" t="s">
        <v>34</v>
      </c>
      <c r="G636" t="s">
        <v>87</v>
      </c>
      <c r="H636" t="s">
        <v>36</v>
      </c>
      <c r="I636" t="s">
        <v>87</v>
      </c>
      <c r="J636" t="s">
        <v>37</v>
      </c>
      <c r="K636">
        <v>111</v>
      </c>
      <c r="L636">
        <v>4</v>
      </c>
      <c r="M636">
        <v>107</v>
      </c>
      <c r="N636">
        <v>10</v>
      </c>
      <c r="O636" t="s">
        <v>87</v>
      </c>
      <c r="P636" t="s">
        <v>38</v>
      </c>
      <c r="Q636">
        <v>0</v>
      </c>
      <c r="R636">
        <v>6</v>
      </c>
      <c r="S636" t="s">
        <v>1675</v>
      </c>
      <c r="T636" t="s">
        <v>1293</v>
      </c>
      <c r="U636" t="s">
        <v>1064</v>
      </c>
      <c r="V636" t="s">
        <v>989</v>
      </c>
      <c r="W636" t="s">
        <v>105</v>
      </c>
      <c r="X636" t="s">
        <v>463</v>
      </c>
      <c r="Y636" t="s">
        <v>45</v>
      </c>
      <c r="Z636">
        <v>20</v>
      </c>
      <c r="AA636">
        <v>6</v>
      </c>
      <c r="AB636" t="s">
        <v>46</v>
      </c>
      <c r="AC636" t="s">
        <v>47</v>
      </c>
      <c r="AD636" t="s">
        <v>1676</v>
      </c>
      <c r="AE636" t="s">
        <v>1677</v>
      </c>
    </row>
    <row r="637" spans="1:31" x14ac:dyDescent="0.2">
      <c r="A637" t="s">
        <v>31</v>
      </c>
      <c r="B637">
        <v>2017</v>
      </c>
      <c r="C637" t="s">
        <v>256</v>
      </c>
      <c r="D637" s="1">
        <v>42876</v>
      </c>
      <c r="E637" t="s">
        <v>101</v>
      </c>
      <c r="F637" t="s">
        <v>102</v>
      </c>
      <c r="G637" t="s">
        <v>87</v>
      </c>
      <c r="H637" t="s">
        <v>1550</v>
      </c>
      <c r="I637" t="s">
        <v>87</v>
      </c>
      <c r="J637" t="s">
        <v>54</v>
      </c>
      <c r="K637">
        <v>129</v>
      </c>
      <c r="L637">
        <v>8</v>
      </c>
      <c r="M637">
        <v>128</v>
      </c>
      <c r="N637">
        <v>6</v>
      </c>
      <c r="O637" t="s">
        <v>87</v>
      </c>
      <c r="P637" t="s">
        <v>38</v>
      </c>
      <c r="Q637">
        <v>1</v>
      </c>
      <c r="R637">
        <v>0</v>
      </c>
      <c r="S637" t="s">
        <v>1503</v>
      </c>
      <c r="T637" t="s">
        <v>40</v>
      </c>
      <c r="U637" t="s">
        <v>1064</v>
      </c>
      <c r="V637" t="s">
        <v>111</v>
      </c>
      <c r="W637" t="s">
        <v>146</v>
      </c>
      <c r="X637" t="s">
        <v>969</v>
      </c>
      <c r="Y637" t="s">
        <v>45</v>
      </c>
      <c r="Z637">
        <v>20</v>
      </c>
      <c r="AA637">
        <v>6</v>
      </c>
      <c r="AB637" t="s">
        <v>46</v>
      </c>
      <c r="AC637" t="s">
        <v>47</v>
      </c>
      <c r="AD637" t="s">
        <v>1678</v>
      </c>
      <c r="AE637" t="s">
        <v>1679</v>
      </c>
    </row>
    <row r="638" spans="1:31" x14ac:dyDescent="0.2">
      <c r="A638" t="s">
        <v>31</v>
      </c>
      <c r="B638">
        <v>2018</v>
      </c>
      <c r="C638">
        <v>1</v>
      </c>
      <c r="D638" s="1">
        <v>43197</v>
      </c>
      <c r="E638" t="s">
        <v>85</v>
      </c>
      <c r="F638" t="s">
        <v>86</v>
      </c>
      <c r="G638" t="s">
        <v>87</v>
      </c>
      <c r="H638" t="s">
        <v>53</v>
      </c>
      <c r="I638" t="s">
        <v>53</v>
      </c>
      <c r="J638" t="s">
        <v>37</v>
      </c>
      <c r="K638">
        <v>165</v>
      </c>
      <c r="L638">
        <v>4</v>
      </c>
      <c r="M638">
        <v>169</v>
      </c>
      <c r="N638">
        <v>9</v>
      </c>
      <c r="O638" t="s">
        <v>53</v>
      </c>
      <c r="P638" t="s">
        <v>38</v>
      </c>
      <c r="Q638">
        <v>0</v>
      </c>
      <c r="R638">
        <v>1</v>
      </c>
      <c r="S638" t="s">
        <v>219</v>
      </c>
      <c r="T638" t="s">
        <v>1680</v>
      </c>
      <c r="U638" t="s">
        <v>1283</v>
      </c>
      <c r="V638" t="s">
        <v>969</v>
      </c>
      <c r="W638" t="s">
        <v>146</v>
      </c>
      <c r="X638" t="s">
        <v>1210</v>
      </c>
      <c r="Y638" t="s">
        <v>45</v>
      </c>
      <c r="Z638">
        <v>20</v>
      </c>
      <c r="AA638">
        <v>6</v>
      </c>
      <c r="AB638" t="s">
        <v>46</v>
      </c>
      <c r="AC638" t="s">
        <v>47</v>
      </c>
      <c r="AD638" t="s">
        <v>1681</v>
      </c>
      <c r="AE638" t="s">
        <v>1682</v>
      </c>
    </row>
    <row r="639" spans="1:31" x14ac:dyDescent="0.2">
      <c r="A639" t="s">
        <v>31</v>
      </c>
      <c r="B639">
        <v>2018</v>
      </c>
      <c r="C639">
        <v>2</v>
      </c>
      <c r="D639" s="1">
        <v>43198</v>
      </c>
      <c r="E639" t="s">
        <v>50</v>
      </c>
      <c r="F639" t="s">
        <v>1683</v>
      </c>
      <c r="G639" t="s">
        <v>65</v>
      </c>
      <c r="H639" t="s">
        <v>52</v>
      </c>
      <c r="I639" t="s">
        <v>52</v>
      </c>
      <c r="J639" t="s">
        <v>37</v>
      </c>
      <c r="K639">
        <v>166</v>
      </c>
      <c r="L639">
        <v>7</v>
      </c>
      <c r="M639">
        <v>167</v>
      </c>
      <c r="N639">
        <v>4</v>
      </c>
      <c r="O639" t="s">
        <v>52</v>
      </c>
      <c r="P639" t="s">
        <v>38</v>
      </c>
      <c r="Q639">
        <v>0</v>
      </c>
      <c r="R639">
        <v>6</v>
      </c>
      <c r="S639" t="s">
        <v>1684</v>
      </c>
      <c r="T639" t="s">
        <v>40</v>
      </c>
      <c r="U639" t="s">
        <v>463</v>
      </c>
      <c r="V639" t="s">
        <v>656</v>
      </c>
      <c r="W639" t="s">
        <v>989</v>
      </c>
      <c r="X639" t="s">
        <v>1547</v>
      </c>
      <c r="Y639" t="s">
        <v>45</v>
      </c>
      <c r="Z639">
        <v>20</v>
      </c>
      <c r="AA639">
        <v>6</v>
      </c>
      <c r="AB639" t="s">
        <v>46</v>
      </c>
      <c r="AC639" t="s">
        <v>47</v>
      </c>
      <c r="AD639" t="s">
        <v>1685</v>
      </c>
      <c r="AE639" t="s">
        <v>1686</v>
      </c>
    </row>
    <row r="640" spans="1:31" x14ac:dyDescent="0.2">
      <c r="A640" t="s">
        <v>31</v>
      </c>
      <c r="B640">
        <v>2018</v>
      </c>
      <c r="C640">
        <v>3</v>
      </c>
      <c r="D640" s="1">
        <v>43198</v>
      </c>
      <c r="E640" t="s">
        <v>75</v>
      </c>
      <c r="F640" t="s">
        <v>76</v>
      </c>
      <c r="G640" t="s">
        <v>35</v>
      </c>
      <c r="H640" t="s">
        <v>36</v>
      </c>
      <c r="I640" t="s">
        <v>36</v>
      </c>
      <c r="J640" t="s">
        <v>37</v>
      </c>
      <c r="K640">
        <v>176</v>
      </c>
      <c r="L640">
        <v>7</v>
      </c>
      <c r="M640">
        <v>177</v>
      </c>
      <c r="N640">
        <v>6</v>
      </c>
      <c r="O640" t="s">
        <v>36</v>
      </c>
      <c r="P640" t="s">
        <v>38</v>
      </c>
      <c r="Q640">
        <v>0</v>
      </c>
      <c r="R640">
        <v>4</v>
      </c>
      <c r="S640" t="s">
        <v>835</v>
      </c>
      <c r="T640" t="s">
        <v>1553</v>
      </c>
      <c r="U640" t="s">
        <v>1410</v>
      </c>
      <c r="V640" t="s">
        <v>105</v>
      </c>
      <c r="W640" t="s">
        <v>111</v>
      </c>
      <c r="X640" t="s">
        <v>605</v>
      </c>
      <c r="Y640" t="s">
        <v>45</v>
      </c>
      <c r="Z640">
        <v>20</v>
      </c>
      <c r="AA640">
        <v>6</v>
      </c>
      <c r="AB640" t="s">
        <v>46</v>
      </c>
      <c r="AC640" t="s">
        <v>47</v>
      </c>
      <c r="AD640" t="s">
        <v>1687</v>
      </c>
      <c r="AE640" t="s">
        <v>1688</v>
      </c>
    </row>
    <row r="641" spans="1:31" x14ac:dyDescent="0.2">
      <c r="A641" t="s">
        <v>31</v>
      </c>
      <c r="B641">
        <v>2018</v>
      </c>
      <c r="C641">
        <v>4</v>
      </c>
      <c r="D641" s="1">
        <v>43199</v>
      </c>
      <c r="E641" t="s">
        <v>101</v>
      </c>
      <c r="F641" t="s">
        <v>1689</v>
      </c>
      <c r="G641" t="s">
        <v>66</v>
      </c>
      <c r="H641" t="s">
        <v>968</v>
      </c>
      <c r="I641" t="s">
        <v>968</v>
      </c>
      <c r="J641" t="s">
        <v>37</v>
      </c>
      <c r="K641">
        <v>125</v>
      </c>
      <c r="L641">
        <v>9</v>
      </c>
      <c r="M641">
        <v>127</v>
      </c>
      <c r="N641">
        <v>1</v>
      </c>
      <c r="O641" t="s">
        <v>968</v>
      </c>
      <c r="P641" t="s">
        <v>38</v>
      </c>
      <c r="Q641">
        <v>0</v>
      </c>
      <c r="R641">
        <v>9</v>
      </c>
      <c r="S641" t="s">
        <v>763</v>
      </c>
      <c r="T641" t="s">
        <v>1443</v>
      </c>
      <c r="U641" t="s">
        <v>1064</v>
      </c>
      <c r="V641" t="s">
        <v>642</v>
      </c>
      <c r="W641" t="s">
        <v>158</v>
      </c>
      <c r="X641" t="s">
        <v>1193</v>
      </c>
      <c r="Y641" t="s">
        <v>45</v>
      </c>
      <c r="Z641">
        <v>20</v>
      </c>
      <c r="AA641">
        <v>6</v>
      </c>
      <c r="AB641" t="s">
        <v>46</v>
      </c>
      <c r="AC641" t="s">
        <v>47</v>
      </c>
      <c r="AD641" t="s">
        <v>1690</v>
      </c>
      <c r="AE641" t="s">
        <v>1691</v>
      </c>
    </row>
    <row r="642" spans="1:31" x14ac:dyDescent="0.2">
      <c r="A642" t="s">
        <v>31</v>
      </c>
      <c r="B642">
        <v>2018</v>
      </c>
      <c r="C642">
        <v>5</v>
      </c>
      <c r="D642" s="1">
        <v>43200</v>
      </c>
      <c r="E642" t="s">
        <v>108</v>
      </c>
      <c r="F642" t="s">
        <v>1692</v>
      </c>
      <c r="G642" t="s">
        <v>36</v>
      </c>
      <c r="H642" t="s">
        <v>53</v>
      </c>
      <c r="I642" t="s">
        <v>53</v>
      </c>
      <c r="J642" t="s">
        <v>37</v>
      </c>
      <c r="K642">
        <v>202</v>
      </c>
      <c r="L642">
        <v>6</v>
      </c>
      <c r="M642">
        <v>205</v>
      </c>
      <c r="N642">
        <v>5</v>
      </c>
      <c r="O642" t="s">
        <v>53</v>
      </c>
      <c r="P642" t="s">
        <v>38</v>
      </c>
      <c r="Q642">
        <v>0</v>
      </c>
      <c r="R642">
        <v>5</v>
      </c>
      <c r="S642" t="s">
        <v>1693</v>
      </c>
      <c r="T642" t="s">
        <v>1680</v>
      </c>
      <c r="U642" t="s">
        <v>146</v>
      </c>
      <c r="V642" t="s">
        <v>1283</v>
      </c>
      <c r="W642" t="s">
        <v>969</v>
      </c>
      <c r="X642" t="s">
        <v>1210</v>
      </c>
      <c r="Y642" t="s">
        <v>45</v>
      </c>
      <c r="Z642">
        <v>20</v>
      </c>
      <c r="AA642">
        <v>6</v>
      </c>
      <c r="AB642" t="s">
        <v>46</v>
      </c>
      <c r="AC642" t="s">
        <v>47</v>
      </c>
      <c r="AD642" t="s">
        <v>1694</v>
      </c>
      <c r="AE642" t="s">
        <v>1695</v>
      </c>
    </row>
    <row r="643" spans="1:31" x14ac:dyDescent="0.2">
      <c r="A643" t="s">
        <v>31</v>
      </c>
      <c r="B643">
        <v>2018</v>
      </c>
      <c r="C643">
        <v>6</v>
      </c>
      <c r="D643" s="1">
        <v>43201</v>
      </c>
      <c r="E643" t="s">
        <v>95</v>
      </c>
      <c r="F643" t="s">
        <v>96</v>
      </c>
      <c r="G643" t="s">
        <v>66</v>
      </c>
      <c r="H643" t="s">
        <v>65</v>
      </c>
      <c r="I643" t="s">
        <v>65</v>
      </c>
      <c r="J643" t="s">
        <v>37</v>
      </c>
      <c r="K643">
        <v>153</v>
      </c>
      <c r="L643">
        <v>5</v>
      </c>
      <c r="M643">
        <v>60</v>
      </c>
      <c r="N643">
        <v>4</v>
      </c>
      <c r="O643" t="s">
        <v>66</v>
      </c>
      <c r="P643" t="s">
        <v>38</v>
      </c>
      <c r="Q643">
        <v>10</v>
      </c>
      <c r="R643">
        <v>0</v>
      </c>
      <c r="S643" t="s">
        <v>1055</v>
      </c>
      <c r="T643" t="s">
        <v>40</v>
      </c>
      <c r="U643" t="s">
        <v>463</v>
      </c>
      <c r="V643" t="s">
        <v>989</v>
      </c>
      <c r="W643" t="s">
        <v>656</v>
      </c>
      <c r="X643" t="s">
        <v>1547</v>
      </c>
      <c r="Y643" t="s">
        <v>45</v>
      </c>
      <c r="Z643">
        <v>20</v>
      </c>
      <c r="AA643">
        <v>6</v>
      </c>
      <c r="AB643" t="s">
        <v>46</v>
      </c>
      <c r="AC643" t="s">
        <v>47</v>
      </c>
      <c r="AD643" t="s">
        <v>1696</v>
      </c>
      <c r="AE643" t="s">
        <v>1697</v>
      </c>
    </row>
    <row r="644" spans="1:31" x14ac:dyDescent="0.2">
      <c r="A644" t="s">
        <v>31</v>
      </c>
      <c r="B644">
        <v>2018</v>
      </c>
      <c r="C644">
        <v>7</v>
      </c>
      <c r="D644" s="1">
        <v>43202</v>
      </c>
      <c r="E644" t="s">
        <v>101</v>
      </c>
      <c r="F644" t="s">
        <v>1689</v>
      </c>
      <c r="G644" t="s">
        <v>87</v>
      </c>
      <c r="H644" t="s">
        <v>968</v>
      </c>
      <c r="I644" t="s">
        <v>968</v>
      </c>
      <c r="J644" t="s">
        <v>37</v>
      </c>
      <c r="K644">
        <v>147</v>
      </c>
      <c r="L644">
        <v>8</v>
      </c>
      <c r="M644">
        <v>151</v>
      </c>
      <c r="N644">
        <v>9</v>
      </c>
      <c r="O644" t="s">
        <v>968</v>
      </c>
      <c r="P644" t="s">
        <v>38</v>
      </c>
      <c r="Q644">
        <v>0</v>
      </c>
      <c r="R644">
        <v>1</v>
      </c>
      <c r="S644" t="s">
        <v>1562</v>
      </c>
      <c r="T644" t="s">
        <v>1443</v>
      </c>
      <c r="U644" t="s">
        <v>158</v>
      </c>
      <c r="V644" t="s">
        <v>1064</v>
      </c>
      <c r="W644" t="s">
        <v>642</v>
      </c>
      <c r="X644" t="s">
        <v>1193</v>
      </c>
      <c r="Y644" t="s">
        <v>45</v>
      </c>
      <c r="Z644">
        <v>20</v>
      </c>
      <c r="AA644">
        <v>6</v>
      </c>
      <c r="AB644" t="s">
        <v>46</v>
      </c>
      <c r="AC644" t="s">
        <v>47</v>
      </c>
      <c r="AD644" t="s">
        <v>1698</v>
      </c>
      <c r="AE644" t="s">
        <v>1699</v>
      </c>
    </row>
    <row r="645" spans="1:31" x14ac:dyDescent="0.2">
      <c r="A645" t="s">
        <v>31</v>
      </c>
      <c r="B645">
        <v>2018</v>
      </c>
      <c r="C645">
        <v>8</v>
      </c>
      <c r="D645" s="1">
        <v>43203</v>
      </c>
      <c r="E645" t="s">
        <v>1558</v>
      </c>
      <c r="F645" t="s">
        <v>1559</v>
      </c>
      <c r="G645" t="s">
        <v>52</v>
      </c>
      <c r="H645" t="s">
        <v>35</v>
      </c>
      <c r="I645" t="s">
        <v>35</v>
      </c>
      <c r="J645" t="s">
        <v>37</v>
      </c>
      <c r="K645">
        <v>155</v>
      </c>
      <c r="L645">
        <v>10</v>
      </c>
      <c r="M645">
        <v>159</v>
      </c>
      <c r="N645">
        <v>6</v>
      </c>
      <c r="O645" t="s">
        <v>35</v>
      </c>
      <c r="P645" t="s">
        <v>38</v>
      </c>
      <c r="Q645">
        <v>0</v>
      </c>
      <c r="R645">
        <v>4</v>
      </c>
      <c r="S645" t="s">
        <v>934</v>
      </c>
      <c r="T645" t="s">
        <v>1553</v>
      </c>
      <c r="U645" t="s">
        <v>1410</v>
      </c>
      <c r="V645" t="s">
        <v>111</v>
      </c>
      <c r="W645" t="s">
        <v>105</v>
      </c>
      <c r="X645" t="s">
        <v>605</v>
      </c>
      <c r="Y645" t="s">
        <v>45</v>
      </c>
      <c r="Z645">
        <v>20</v>
      </c>
      <c r="AA645">
        <v>6</v>
      </c>
      <c r="AB645" t="s">
        <v>46</v>
      </c>
      <c r="AC645" t="s">
        <v>47</v>
      </c>
      <c r="AD645" t="s">
        <v>1700</v>
      </c>
      <c r="AE645" t="s">
        <v>1701</v>
      </c>
    </row>
    <row r="646" spans="1:31" x14ac:dyDescent="0.2">
      <c r="A646" t="s">
        <v>31</v>
      </c>
      <c r="B646">
        <v>2018</v>
      </c>
      <c r="C646">
        <v>9</v>
      </c>
      <c r="D646" s="1">
        <v>43204</v>
      </c>
      <c r="E646" t="s">
        <v>85</v>
      </c>
      <c r="F646" t="s">
        <v>86</v>
      </c>
      <c r="G646" t="s">
        <v>87</v>
      </c>
      <c r="H646" t="s">
        <v>65</v>
      </c>
      <c r="I646" t="s">
        <v>65</v>
      </c>
      <c r="J646" t="s">
        <v>37</v>
      </c>
      <c r="K646">
        <v>194</v>
      </c>
      <c r="L646">
        <v>7</v>
      </c>
      <c r="M646">
        <v>195</v>
      </c>
      <c r="N646">
        <v>3</v>
      </c>
      <c r="O646" t="s">
        <v>65</v>
      </c>
      <c r="P646" t="s">
        <v>38</v>
      </c>
      <c r="Q646">
        <v>0</v>
      </c>
      <c r="R646">
        <v>7</v>
      </c>
      <c r="S646" t="s">
        <v>1702</v>
      </c>
      <c r="T646" t="s">
        <v>40</v>
      </c>
      <c r="U646" t="s">
        <v>463</v>
      </c>
      <c r="V646" t="s">
        <v>989</v>
      </c>
      <c r="W646" t="s">
        <v>656</v>
      </c>
      <c r="X646" t="s">
        <v>1547</v>
      </c>
      <c r="Y646" t="s">
        <v>45</v>
      </c>
      <c r="Z646">
        <v>20</v>
      </c>
      <c r="AA646">
        <v>6</v>
      </c>
      <c r="AB646" t="s">
        <v>46</v>
      </c>
      <c r="AC646" t="s">
        <v>47</v>
      </c>
      <c r="AD646" t="s">
        <v>1703</v>
      </c>
      <c r="AE646" t="s">
        <v>1704</v>
      </c>
    </row>
    <row r="647" spans="1:31" x14ac:dyDescent="0.2">
      <c r="A647" t="s">
        <v>31</v>
      </c>
      <c r="B647">
        <v>2018</v>
      </c>
      <c r="C647">
        <v>10</v>
      </c>
      <c r="D647" s="1">
        <v>43204</v>
      </c>
      <c r="E647" t="s">
        <v>75</v>
      </c>
      <c r="F647" t="s">
        <v>76</v>
      </c>
      <c r="G647" t="s">
        <v>36</v>
      </c>
      <c r="H647" t="s">
        <v>968</v>
      </c>
      <c r="I647" t="s">
        <v>968</v>
      </c>
      <c r="J647" t="s">
        <v>37</v>
      </c>
      <c r="K647">
        <v>138</v>
      </c>
      <c r="L647">
        <v>8</v>
      </c>
      <c r="M647">
        <v>139</v>
      </c>
      <c r="N647">
        <v>5</v>
      </c>
      <c r="O647" t="s">
        <v>968</v>
      </c>
      <c r="P647" t="s">
        <v>38</v>
      </c>
      <c r="Q647">
        <v>0</v>
      </c>
      <c r="R647">
        <v>5</v>
      </c>
      <c r="S647" t="s">
        <v>1705</v>
      </c>
      <c r="T647" t="s">
        <v>1680</v>
      </c>
      <c r="U647" t="s">
        <v>146</v>
      </c>
      <c r="V647" t="s">
        <v>969</v>
      </c>
      <c r="W647" t="s">
        <v>1283</v>
      </c>
      <c r="X647" t="s">
        <v>1210</v>
      </c>
      <c r="Y647" t="s">
        <v>45</v>
      </c>
      <c r="Z647">
        <v>20</v>
      </c>
      <c r="AA647">
        <v>6</v>
      </c>
      <c r="AB647" t="s">
        <v>46</v>
      </c>
      <c r="AC647" t="s">
        <v>47</v>
      </c>
      <c r="AD647" t="s">
        <v>1706</v>
      </c>
      <c r="AE647" t="s">
        <v>1707</v>
      </c>
    </row>
    <row r="648" spans="1:31" x14ac:dyDescent="0.2">
      <c r="A648" t="s">
        <v>31</v>
      </c>
      <c r="B648">
        <v>2018</v>
      </c>
      <c r="C648">
        <v>11</v>
      </c>
      <c r="D648" s="1">
        <v>43205</v>
      </c>
      <c r="E648" t="s">
        <v>1558</v>
      </c>
      <c r="F648" t="s">
        <v>1559</v>
      </c>
      <c r="G648" t="s">
        <v>66</v>
      </c>
      <c r="H648" t="s">
        <v>35</v>
      </c>
      <c r="I648" t="s">
        <v>35</v>
      </c>
      <c r="J648" t="s">
        <v>37</v>
      </c>
      <c r="K648">
        <v>217</v>
      </c>
      <c r="L648">
        <v>4</v>
      </c>
      <c r="M648">
        <v>198</v>
      </c>
      <c r="N648">
        <v>6</v>
      </c>
      <c r="O648" t="s">
        <v>66</v>
      </c>
      <c r="P648" t="s">
        <v>38</v>
      </c>
      <c r="Q648">
        <v>19</v>
      </c>
      <c r="R648">
        <v>0</v>
      </c>
      <c r="S648" t="s">
        <v>1055</v>
      </c>
      <c r="T648" t="s">
        <v>1279</v>
      </c>
      <c r="U648" t="s">
        <v>105</v>
      </c>
      <c r="V648" t="s">
        <v>111</v>
      </c>
      <c r="W648" t="s">
        <v>1410</v>
      </c>
      <c r="X648" t="s">
        <v>605</v>
      </c>
      <c r="Y648" t="s">
        <v>45</v>
      </c>
      <c r="Z648">
        <v>20</v>
      </c>
      <c r="AA648">
        <v>6</v>
      </c>
      <c r="AB648" t="s">
        <v>46</v>
      </c>
      <c r="AC648" t="s">
        <v>47</v>
      </c>
      <c r="AD648" t="s">
        <v>1708</v>
      </c>
      <c r="AE648" t="s">
        <v>1709</v>
      </c>
    </row>
    <row r="649" spans="1:31" x14ac:dyDescent="0.2">
      <c r="A649" t="s">
        <v>31</v>
      </c>
      <c r="B649">
        <v>2018</v>
      </c>
      <c r="C649">
        <v>12</v>
      </c>
      <c r="D649" s="1">
        <v>43205</v>
      </c>
      <c r="E649" t="s">
        <v>50</v>
      </c>
      <c r="F649" t="s">
        <v>1683</v>
      </c>
      <c r="G649" t="s">
        <v>52</v>
      </c>
      <c r="H649" t="s">
        <v>53</v>
      </c>
      <c r="I649" t="s">
        <v>53</v>
      </c>
      <c r="J649" t="s">
        <v>37</v>
      </c>
      <c r="K649">
        <v>197</v>
      </c>
      <c r="L649">
        <v>7</v>
      </c>
      <c r="M649">
        <v>193</v>
      </c>
      <c r="N649">
        <v>5</v>
      </c>
      <c r="O649" t="s">
        <v>52</v>
      </c>
      <c r="P649" t="s">
        <v>38</v>
      </c>
      <c r="Q649">
        <v>4</v>
      </c>
      <c r="R649">
        <v>0</v>
      </c>
      <c r="S649" t="s">
        <v>292</v>
      </c>
      <c r="T649" t="s">
        <v>1443</v>
      </c>
      <c r="U649" t="s">
        <v>158</v>
      </c>
      <c r="V649" t="s">
        <v>642</v>
      </c>
      <c r="W649" t="s">
        <v>1064</v>
      </c>
      <c r="X649" t="s">
        <v>1193</v>
      </c>
      <c r="Y649" t="s">
        <v>45</v>
      </c>
      <c r="Z649">
        <v>20</v>
      </c>
      <c r="AA649">
        <v>6</v>
      </c>
      <c r="AB649" t="s">
        <v>46</v>
      </c>
      <c r="AC649" t="s">
        <v>47</v>
      </c>
      <c r="AD649" t="s">
        <v>1710</v>
      </c>
      <c r="AE649" t="s">
        <v>1711</v>
      </c>
    </row>
    <row r="650" spans="1:31" x14ac:dyDescent="0.2">
      <c r="A650" t="s">
        <v>31</v>
      </c>
      <c r="B650">
        <v>2018</v>
      </c>
      <c r="C650">
        <v>13</v>
      </c>
      <c r="D650" s="1">
        <v>43206</v>
      </c>
      <c r="E650" t="s">
        <v>75</v>
      </c>
      <c r="F650" t="s">
        <v>76</v>
      </c>
      <c r="G650" t="s">
        <v>36</v>
      </c>
      <c r="H650" t="s">
        <v>65</v>
      </c>
      <c r="I650" t="s">
        <v>65</v>
      </c>
      <c r="J650" t="s">
        <v>37</v>
      </c>
      <c r="K650">
        <v>200</v>
      </c>
      <c r="L650">
        <v>9</v>
      </c>
      <c r="M650">
        <v>129</v>
      </c>
      <c r="N650">
        <v>10</v>
      </c>
      <c r="O650" t="s">
        <v>36</v>
      </c>
      <c r="P650" t="s">
        <v>38</v>
      </c>
      <c r="Q650">
        <v>71</v>
      </c>
      <c r="R650">
        <v>0</v>
      </c>
      <c r="S650" t="s">
        <v>1564</v>
      </c>
      <c r="T650" t="s">
        <v>1680</v>
      </c>
      <c r="U650" t="s">
        <v>146</v>
      </c>
      <c r="V650" t="s">
        <v>969</v>
      </c>
      <c r="W650" t="s">
        <v>1283</v>
      </c>
      <c r="X650" t="s">
        <v>1210</v>
      </c>
      <c r="Y650" t="s">
        <v>45</v>
      </c>
      <c r="Z650">
        <v>20</v>
      </c>
      <c r="AA650">
        <v>6</v>
      </c>
      <c r="AB650" t="s">
        <v>46</v>
      </c>
      <c r="AC650" t="s">
        <v>47</v>
      </c>
      <c r="AD650" t="s">
        <v>1712</v>
      </c>
      <c r="AE650" t="s">
        <v>1713</v>
      </c>
    </row>
    <row r="651" spans="1:31" x14ac:dyDescent="0.2">
      <c r="A651" t="s">
        <v>31</v>
      </c>
      <c r="B651">
        <v>2018</v>
      </c>
      <c r="C651">
        <v>14</v>
      </c>
      <c r="D651" s="1">
        <v>43207</v>
      </c>
      <c r="E651" t="s">
        <v>85</v>
      </c>
      <c r="F651" t="s">
        <v>86</v>
      </c>
      <c r="G651" t="s">
        <v>87</v>
      </c>
      <c r="H651" t="s">
        <v>35</v>
      </c>
      <c r="I651" t="s">
        <v>35</v>
      </c>
      <c r="J651" t="s">
        <v>37</v>
      </c>
      <c r="K651">
        <v>213</v>
      </c>
      <c r="L651">
        <v>6</v>
      </c>
      <c r="M651">
        <v>167</v>
      </c>
      <c r="N651">
        <v>8</v>
      </c>
      <c r="O651" t="s">
        <v>87</v>
      </c>
      <c r="P651" t="s">
        <v>38</v>
      </c>
      <c r="Q651">
        <v>46</v>
      </c>
      <c r="R651">
        <v>0</v>
      </c>
      <c r="S651" t="s">
        <v>369</v>
      </c>
      <c r="T651" t="s">
        <v>40</v>
      </c>
      <c r="U651" t="s">
        <v>989</v>
      </c>
      <c r="V651" t="s">
        <v>656</v>
      </c>
      <c r="W651" t="s">
        <v>463</v>
      </c>
      <c r="X651" t="s">
        <v>1547</v>
      </c>
      <c r="Y651" t="s">
        <v>45</v>
      </c>
      <c r="Z651">
        <v>20</v>
      </c>
      <c r="AA651">
        <v>6</v>
      </c>
      <c r="AB651" t="s">
        <v>46</v>
      </c>
      <c r="AC651" t="s">
        <v>47</v>
      </c>
      <c r="AD651" t="s">
        <v>1714</v>
      </c>
      <c r="AE651" t="s">
        <v>1715</v>
      </c>
    </row>
    <row r="652" spans="1:31" x14ac:dyDescent="0.2">
      <c r="A652" t="s">
        <v>31</v>
      </c>
      <c r="B652">
        <v>2018</v>
      </c>
      <c r="C652">
        <v>15</v>
      </c>
      <c r="D652" s="1">
        <v>43208</v>
      </c>
      <c r="E652" t="s">
        <v>95</v>
      </c>
      <c r="F652" t="s">
        <v>96</v>
      </c>
      <c r="G652" t="s">
        <v>66</v>
      </c>
      <c r="H652" t="s">
        <v>36</v>
      </c>
      <c r="I652" t="s">
        <v>36</v>
      </c>
      <c r="J652" t="s">
        <v>37</v>
      </c>
      <c r="K652">
        <v>160</v>
      </c>
      <c r="L652">
        <v>8</v>
      </c>
      <c r="M652">
        <v>163</v>
      </c>
      <c r="N652">
        <v>3</v>
      </c>
      <c r="O652" t="s">
        <v>36</v>
      </c>
      <c r="P652" t="s">
        <v>38</v>
      </c>
      <c r="Q652">
        <v>0</v>
      </c>
      <c r="R652">
        <v>7</v>
      </c>
      <c r="S652" t="s">
        <v>1564</v>
      </c>
      <c r="T652" t="s">
        <v>1279</v>
      </c>
      <c r="U652" t="s">
        <v>1410</v>
      </c>
      <c r="V652" t="s">
        <v>111</v>
      </c>
      <c r="W652" t="s">
        <v>105</v>
      </c>
      <c r="X652" t="s">
        <v>605</v>
      </c>
      <c r="Y652" t="s">
        <v>45</v>
      </c>
      <c r="Z652">
        <v>20</v>
      </c>
      <c r="AA652">
        <v>6</v>
      </c>
      <c r="AB652" t="s">
        <v>46</v>
      </c>
      <c r="AC652" t="s">
        <v>47</v>
      </c>
      <c r="AD652" t="s">
        <v>1716</v>
      </c>
      <c r="AE652" t="s">
        <v>1717</v>
      </c>
    </row>
    <row r="653" spans="1:31" x14ac:dyDescent="0.2">
      <c r="A653" t="s">
        <v>31</v>
      </c>
      <c r="B653">
        <v>2018</v>
      </c>
      <c r="C653">
        <v>16</v>
      </c>
      <c r="D653" s="1">
        <v>43209</v>
      </c>
      <c r="E653" t="s">
        <v>50</v>
      </c>
      <c r="F653" t="s">
        <v>1683</v>
      </c>
      <c r="G653" t="s">
        <v>52</v>
      </c>
      <c r="H653" t="s">
        <v>968</v>
      </c>
      <c r="I653" t="s">
        <v>52</v>
      </c>
      <c r="J653" t="s">
        <v>54</v>
      </c>
      <c r="K653">
        <v>193</v>
      </c>
      <c r="L653">
        <v>3</v>
      </c>
      <c r="M653">
        <v>178</v>
      </c>
      <c r="N653">
        <v>5</v>
      </c>
      <c r="O653" t="s">
        <v>52</v>
      </c>
      <c r="P653" t="s">
        <v>38</v>
      </c>
      <c r="Q653">
        <v>15</v>
      </c>
      <c r="R653">
        <v>0</v>
      </c>
      <c r="S653" t="s">
        <v>292</v>
      </c>
      <c r="T653" t="s">
        <v>1443</v>
      </c>
      <c r="U653" t="s">
        <v>146</v>
      </c>
      <c r="V653" t="s">
        <v>1064</v>
      </c>
      <c r="W653" t="s">
        <v>642</v>
      </c>
      <c r="X653" t="s">
        <v>1193</v>
      </c>
      <c r="Y653" t="s">
        <v>45</v>
      </c>
      <c r="Z653">
        <v>20</v>
      </c>
      <c r="AA653">
        <v>6</v>
      </c>
      <c r="AB653" t="s">
        <v>46</v>
      </c>
      <c r="AC653" t="s">
        <v>47</v>
      </c>
      <c r="AD653" t="s">
        <v>1718</v>
      </c>
      <c r="AE653" t="s">
        <v>1719</v>
      </c>
    </row>
    <row r="654" spans="1:31" x14ac:dyDescent="0.2">
      <c r="A654" t="s">
        <v>31</v>
      </c>
      <c r="B654">
        <v>2018</v>
      </c>
      <c r="C654">
        <v>17</v>
      </c>
      <c r="D654" s="1">
        <v>43210</v>
      </c>
      <c r="E654" t="s">
        <v>807</v>
      </c>
      <c r="F654" t="s">
        <v>1015</v>
      </c>
      <c r="G654" t="s">
        <v>53</v>
      </c>
      <c r="H654" t="s">
        <v>66</v>
      </c>
      <c r="I654" t="s">
        <v>66</v>
      </c>
      <c r="J654" t="s">
        <v>37</v>
      </c>
      <c r="K654">
        <v>204</v>
      </c>
      <c r="L654">
        <v>5</v>
      </c>
      <c r="M654">
        <v>140</v>
      </c>
      <c r="N654">
        <v>10</v>
      </c>
      <c r="O654" t="s">
        <v>53</v>
      </c>
      <c r="P654" t="s">
        <v>38</v>
      </c>
      <c r="Q654">
        <v>64</v>
      </c>
      <c r="R654">
        <v>0</v>
      </c>
      <c r="S654" t="s">
        <v>97</v>
      </c>
      <c r="T654" t="s">
        <v>40</v>
      </c>
      <c r="U654" t="s">
        <v>463</v>
      </c>
      <c r="V654" t="s">
        <v>989</v>
      </c>
      <c r="W654" t="s">
        <v>656</v>
      </c>
      <c r="X654" t="s">
        <v>1547</v>
      </c>
      <c r="Y654" t="s">
        <v>45</v>
      </c>
      <c r="Z654">
        <v>20</v>
      </c>
      <c r="AA654">
        <v>6</v>
      </c>
      <c r="AB654" t="s">
        <v>46</v>
      </c>
      <c r="AC654" t="s">
        <v>47</v>
      </c>
      <c r="AD654" t="s">
        <v>1720</v>
      </c>
      <c r="AE654" t="s">
        <v>1721</v>
      </c>
    </row>
    <row r="655" spans="1:31" x14ac:dyDescent="0.2">
      <c r="A655" t="s">
        <v>31</v>
      </c>
      <c r="B655">
        <v>2018</v>
      </c>
      <c r="C655">
        <v>18</v>
      </c>
      <c r="D655" s="1">
        <v>43211</v>
      </c>
      <c r="E655" t="s">
        <v>75</v>
      </c>
      <c r="F655" t="s">
        <v>76</v>
      </c>
      <c r="G655" t="s">
        <v>36</v>
      </c>
      <c r="H655" t="s">
        <v>52</v>
      </c>
      <c r="I655" t="s">
        <v>52</v>
      </c>
      <c r="J655" t="s">
        <v>37</v>
      </c>
      <c r="K655">
        <v>191</v>
      </c>
      <c r="L655">
        <v>7</v>
      </c>
      <c r="M655">
        <v>126</v>
      </c>
      <c r="N655">
        <v>1</v>
      </c>
      <c r="O655" t="s">
        <v>52</v>
      </c>
      <c r="P655" t="s">
        <v>38</v>
      </c>
      <c r="Q655">
        <v>0</v>
      </c>
      <c r="R655">
        <v>9</v>
      </c>
      <c r="S655" t="s">
        <v>1684</v>
      </c>
      <c r="T655" t="s">
        <v>1279</v>
      </c>
      <c r="U655" t="s">
        <v>1410</v>
      </c>
      <c r="V655" t="s">
        <v>105</v>
      </c>
      <c r="W655" t="s">
        <v>111</v>
      </c>
      <c r="X655" t="s">
        <v>605</v>
      </c>
      <c r="Y655" t="s">
        <v>45</v>
      </c>
      <c r="Z655">
        <v>20</v>
      </c>
      <c r="AA655">
        <v>6</v>
      </c>
      <c r="AB655" t="s">
        <v>46</v>
      </c>
      <c r="AC655" t="s">
        <v>47</v>
      </c>
      <c r="AD655" t="s">
        <v>1712</v>
      </c>
      <c r="AE655" t="s">
        <v>1722</v>
      </c>
    </row>
    <row r="656" spans="1:31" x14ac:dyDescent="0.2">
      <c r="A656" t="s">
        <v>31</v>
      </c>
      <c r="B656">
        <v>2018</v>
      </c>
      <c r="C656">
        <v>19</v>
      </c>
      <c r="D656" s="1">
        <v>43211</v>
      </c>
      <c r="E656" t="s">
        <v>1558</v>
      </c>
      <c r="F656" t="s">
        <v>1559</v>
      </c>
      <c r="G656" t="s">
        <v>65</v>
      </c>
      <c r="H656" t="s">
        <v>35</v>
      </c>
      <c r="I656" t="s">
        <v>35</v>
      </c>
      <c r="J656" t="s">
        <v>37</v>
      </c>
      <c r="K656">
        <v>174</v>
      </c>
      <c r="L656">
        <v>5</v>
      </c>
      <c r="M656">
        <v>176</v>
      </c>
      <c r="N656">
        <v>4</v>
      </c>
      <c r="O656" t="s">
        <v>35</v>
      </c>
      <c r="P656" t="s">
        <v>38</v>
      </c>
      <c r="Q656">
        <v>0</v>
      </c>
      <c r="R656">
        <v>6</v>
      </c>
      <c r="S656" t="s">
        <v>300</v>
      </c>
      <c r="T656" t="s">
        <v>1680</v>
      </c>
      <c r="U656" t="s">
        <v>1283</v>
      </c>
      <c r="V656" t="s">
        <v>158</v>
      </c>
      <c r="W656" t="s">
        <v>969</v>
      </c>
      <c r="X656" t="s">
        <v>1210</v>
      </c>
      <c r="Y656" t="s">
        <v>45</v>
      </c>
      <c r="Z656">
        <v>20</v>
      </c>
      <c r="AA656">
        <v>6</v>
      </c>
      <c r="AB656" t="s">
        <v>46</v>
      </c>
      <c r="AC656" t="s">
        <v>47</v>
      </c>
      <c r="AD656" t="s">
        <v>1723</v>
      </c>
      <c r="AE656" t="s">
        <v>1724</v>
      </c>
    </row>
    <row r="657" spans="1:31" x14ac:dyDescent="0.2">
      <c r="A657" t="s">
        <v>31</v>
      </c>
      <c r="B657">
        <v>2018</v>
      </c>
      <c r="C657">
        <v>20</v>
      </c>
      <c r="D657" s="1">
        <v>43212</v>
      </c>
      <c r="E657" t="s">
        <v>101</v>
      </c>
      <c r="F657" t="s">
        <v>1689</v>
      </c>
      <c r="G657" t="s">
        <v>53</v>
      </c>
      <c r="H657" t="s">
        <v>968</v>
      </c>
      <c r="I657" t="s">
        <v>968</v>
      </c>
      <c r="J657" t="s">
        <v>37</v>
      </c>
      <c r="K657">
        <v>182</v>
      </c>
      <c r="L657">
        <v>3</v>
      </c>
      <c r="M657">
        <v>178</v>
      </c>
      <c r="N657">
        <v>6</v>
      </c>
      <c r="O657" t="s">
        <v>53</v>
      </c>
      <c r="P657" t="s">
        <v>38</v>
      </c>
      <c r="Q657">
        <v>4</v>
      </c>
      <c r="R657">
        <v>0</v>
      </c>
      <c r="S657" t="s">
        <v>530</v>
      </c>
      <c r="T657" t="s">
        <v>1443</v>
      </c>
      <c r="U657" t="s">
        <v>146</v>
      </c>
      <c r="V657" t="s">
        <v>642</v>
      </c>
      <c r="W657" t="s">
        <v>1064</v>
      </c>
      <c r="X657" t="s">
        <v>1193</v>
      </c>
      <c r="Y657" t="s">
        <v>45</v>
      </c>
      <c r="Z657">
        <v>20</v>
      </c>
      <c r="AA657">
        <v>6</v>
      </c>
      <c r="AB657" t="s">
        <v>46</v>
      </c>
      <c r="AC657" t="s">
        <v>47</v>
      </c>
      <c r="AD657" t="s">
        <v>1725</v>
      </c>
      <c r="AE657" t="s">
        <v>1726</v>
      </c>
    </row>
    <row r="658" spans="1:31" x14ac:dyDescent="0.2">
      <c r="A658" t="s">
        <v>31</v>
      </c>
      <c r="B658">
        <v>2018</v>
      </c>
      <c r="C658">
        <v>21</v>
      </c>
      <c r="D658" s="1">
        <v>43212</v>
      </c>
      <c r="E658" t="s">
        <v>95</v>
      </c>
      <c r="F658" t="s">
        <v>96</v>
      </c>
      <c r="G658" t="s">
        <v>87</v>
      </c>
      <c r="H658" t="s">
        <v>66</v>
      </c>
      <c r="I658" t="s">
        <v>87</v>
      </c>
      <c r="J658" t="s">
        <v>54</v>
      </c>
      <c r="K658">
        <v>167</v>
      </c>
      <c r="L658">
        <v>7</v>
      </c>
      <c r="M658">
        <v>168</v>
      </c>
      <c r="N658">
        <v>7</v>
      </c>
      <c r="O658" t="s">
        <v>66</v>
      </c>
      <c r="P658" t="s">
        <v>38</v>
      </c>
      <c r="Q658">
        <v>0</v>
      </c>
      <c r="R658">
        <v>3</v>
      </c>
      <c r="S658" t="s">
        <v>1727</v>
      </c>
      <c r="T658" t="s">
        <v>40</v>
      </c>
      <c r="U658" t="s">
        <v>463</v>
      </c>
      <c r="V658" t="s">
        <v>656</v>
      </c>
      <c r="W658" t="s">
        <v>989</v>
      </c>
      <c r="X658" t="s">
        <v>1728</v>
      </c>
      <c r="Y658" t="s">
        <v>45</v>
      </c>
      <c r="Z658">
        <v>20</v>
      </c>
      <c r="AA658">
        <v>6</v>
      </c>
      <c r="AB658" t="s">
        <v>46</v>
      </c>
      <c r="AC658" t="s">
        <v>47</v>
      </c>
      <c r="AD658" t="s">
        <v>1729</v>
      </c>
      <c r="AE658" t="s">
        <v>1730</v>
      </c>
    </row>
    <row r="659" spans="1:31" x14ac:dyDescent="0.2">
      <c r="A659" t="s">
        <v>31</v>
      </c>
      <c r="B659">
        <v>2018</v>
      </c>
      <c r="C659">
        <v>22</v>
      </c>
      <c r="D659" s="1">
        <v>43213</v>
      </c>
      <c r="E659" t="s">
        <v>63</v>
      </c>
      <c r="F659" t="s">
        <v>1731</v>
      </c>
      <c r="G659" t="s">
        <v>52</v>
      </c>
      <c r="H659" t="s">
        <v>65</v>
      </c>
      <c r="I659" t="s">
        <v>65</v>
      </c>
      <c r="J659" t="s">
        <v>37</v>
      </c>
      <c r="K659">
        <v>143</v>
      </c>
      <c r="L659">
        <v>8</v>
      </c>
      <c r="M659">
        <v>139</v>
      </c>
      <c r="N659">
        <v>8</v>
      </c>
      <c r="O659" t="s">
        <v>52</v>
      </c>
      <c r="P659" t="s">
        <v>38</v>
      </c>
      <c r="Q659">
        <v>4</v>
      </c>
      <c r="R659">
        <v>0</v>
      </c>
      <c r="S659" t="s">
        <v>1732</v>
      </c>
      <c r="T659" t="s">
        <v>1680</v>
      </c>
      <c r="U659" t="s">
        <v>969</v>
      </c>
      <c r="V659" t="s">
        <v>158</v>
      </c>
      <c r="W659" t="s">
        <v>1283</v>
      </c>
      <c r="X659" t="s">
        <v>1733</v>
      </c>
      <c r="Y659" t="s">
        <v>45</v>
      </c>
      <c r="Z659">
        <v>20</v>
      </c>
      <c r="AA659">
        <v>6</v>
      </c>
      <c r="AB659" t="s">
        <v>46</v>
      </c>
      <c r="AC659" t="s">
        <v>47</v>
      </c>
      <c r="AD659" t="s">
        <v>1734</v>
      </c>
      <c r="AE659" t="s">
        <v>1735</v>
      </c>
    </row>
    <row r="660" spans="1:31" x14ac:dyDescent="0.2">
      <c r="A660" t="s">
        <v>31</v>
      </c>
      <c r="B660">
        <v>2018</v>
      </c>
      <c r="C660">
        <v>23</v>
      </c>
      <c r="D660" s="1">
        <v>43214</v>
      </c>
      <c r="E660" t="s">
        <v>85</v>
      </c>
      <c r="F660" t="s">
        <v>86</v>
      </c>
      <c r="G660" t="s">
        <v>968</v>
      </c>
      <c r="H660" t="s">
        <v>87</v>
      </c>
      <c r="I660" t="s">
        <v>87</v>
      </c>
      <c r="J660" t="s">
        <v>37</v>
      </c>
      <c r="K660">
        <v>118</v>
      </c>
      <c r="L660">
        <v>10</v>
      </c>
      <c r="M660">
        <v>87</v>
      </c>
      <c r="N660">
        <v>10</v>
      </c>
      <c r="O660" t="s">
        <v>968</v>
      </c>
      <c r="P660" t="s">
        <v>38</v>
      </c>
      <c r="Q660">
        <v>31</v>
      </c>
      <c r="R660">
        <v>0</v>
      </c>
      <c r="S660" t="s">
        <v>1562</v>
      </c>
      <c r="T660" t="s">
        <v>1553</v>
      </c>
      <c r="U660" t="s">
        <v>105</v>
      </c>
      <c r="V660" t="s">
        <v>111</v>
      </c>
      <c r="W660" t="s">
        <v>1410</v>
      </c>
      <c r="X660" t="s">
        <v>605</v>
      </c>
      <c r="Y660" t="s">
        <v>45</v>
      </c>
      <c r="Z660">
        <v>20</v>
      </c>
      <c r="AA660">
        <v>6</v>
      </c>
      <c r="AB660" t="s">
        <v>46</v>
      </c>
      <c r="AC660" t="s">
        <v>47</v>
      </c>
      <c r="AD660" t="s">
        <v>1736</v>
      </c>
      <c r="AE660" t="s">
        <v>1714</v>
      </c>
    </row>
    <row r="661" spans="1:31" x14ac:dyDescent="0.2">
      <c r="A661" t="s">
        <v>31</v>
      </c>
      <c r="B661">
        <v>2018</v>
      </c>
      <c r="C661">
        <v>24</v>
      </c>
      <c r="D661" s="1">
        <v>43215</v>
      </c>
      <c r="E661" t="s">
        <v>1558</v>
      </c>
      <c r="F661" t="s">
        <v>1559</v>
      </c>
      <c r="G661" t="s">
        <v>35</v>
      </c>
      <c r="H661" t="s">
        <v>53</v>
      </c>
      <c r="I661" t="s">
        <v>53</v>
      </c>
      <c r="J661" t="s">
        <v>37</v>
      </c>
      <c r="K661">
        <v>205</v>
      </c>
      <c r="L661">
        <v>8</v>
      </c>
      <c r="M661">
        <v>207</v>
      </c>
      <c r="N661">
        <v>5</v>
      </c>
      <c r="O661" t="s">
        <v>53</v>
      </c>
      <c r="P661" t="s">
        <v>38</v>
      </c>
      <c r="Q661">
        <v>0</v>
      </c>
      <c r="R661">
        <v>5</v>
      </c>
      <c r="S661" t="s">
        <v>136</v>
      </c>
      <c r="T661" t="s">
        <v>1443</v>
      </c>
      <c r="U661" t="s">
        <v>1064</v>
      </c>
      <c r="V661" t="s">
        <v>939</v>
      </c>
      <c r="W661" t="s">
        <v>146</v>
      </c>
      <c r="X661" t="s">
        <v>1547</v>
      </c>
      <c r="Y661" t="s">
        <v>45</v>
      </c>
      <c r="Z661">
        <v>20</v>
      </c>
      <c r="AA661">
        <v>6</v>
      </c>
      <c r="AB661" t="s">
        <v>46</v>
      </c>
      <c r="AC661" t="s">
        <v>47</v>
      </c>
      <c r="AD661" t="s">
        <v>1737</v>
      </c>
      <c r="AE661" t="s">
        <v>1738</v>
      </c>
    </row>
    <row r="662" spans="1:31" x14ac:dyDescent="0.2">
      <c r="A662" t="s">
        <v>31</v>
      </c>
      <c r="B662">
        <v>2018</v>
      </c>
      <c r="C662">
        <v>25</v>
      </c>
      <c r="D662" s="1">
        <v>43216</v>
      </c>
      <c r="E662" t="s">
        <v>101</v>
      </c>
      <c r="F662" t="s">
        <v>1689</v>
      </c>
      <c r="G662" t="s">
        <v>968</v>
      </c>
      <c r="H662" t="s">
        <v>52</v>
      </c>
      <c r="I662" t="s">
        <v>52</v>
      </c>
      <c r="J662" t="s">
        <v>37</v>
      </c>
      <c r="K662">
        <v>132</v>
      </c>
      <c r="L662">
        <v>6</v>
      </c>
      <c r="M662">
        <v>119</v>
      </c>
      <c r="N662">
        <v>10</v>
      </c>
      <c r="O662" t="s">
        <v>968</v>
      </c>
      <c r="P662" t="s">
        <v>38</v>
      </c>
      <c r="Q662">
        <v>13</v>
      </c>
      <c r="R662">
        <v>0</v>
      </c>
      <c r="S662" t="s">
        <v>1732</v>
      </c>
      <c r="T662" t="s">
        <v>40</v>
      </c>
      <c r="U662" t="s">
        <v>158</v>
      </c>
      <c r="V662" t="s">
        <v>1417</v>
      </c>
      <c r="W662" t="s">
        <v>656</v>
      </c>
      <c r="X662" t="s">
        <v>1733</v>
      </c>
      <c r="Y662" t="s">
        <v>45</v>
      </c>
      <c r="Z662">
        <v>20</v>
      </c>
      <c r="AA662">
        <v>6</v>
      </c>
      <c r="AB662" t="s">
        <v>46</v>
      </c>
      <c r="AC662" t="s">
        <v>47</v>
      </c>
      <c r="AD662" t="s">
        <v>1736</v>
      </c>
      <c r="AE662" t="s">
        <v>1739</v>
      </c>
    </row>
    <row r="663" spans="1:31" x14ac:dyDescent="0.2">
      <c r="A663" t="s">
        <v>31</v>
      </c>
      <c r="B663">
        <v>2018</v>
      </c>
      <c r="C663">
        <v>26</v>
      </c>
      <c r="D663" s="1">
        <v>43217</v>
      </c>
      <c r="E663" t="s">
        <v>63</v>
      </c>
      <c r="F663" t="s">
        <v>1731</v>
      </c>
      <c r="G663" t="s">
        <v>65</v>
      </c>
      <c r="H663" t="s">
        <v>36</v>
      </c>
      <c r="I663" t="s">
        <v>36</v>
      </c>
      <c r="J663" t="s">
        <v>37</v>
      </c>
      <c r="K663">
        <v>219</v>
      </c>
      <c r="L663">
        <v>4</v>
      </c>
      <c r="M663">
        <v>164</v>
      </c>
      <c r="N663">
        <v>9</v>
      </c>
      <c r="O663" t="s">
        <v>65</v>
      </c>
      <c r="P663" t="s">
        <v>38</v>
      </c>
      <c r="Q663">
        <v>55</v>
      </c>
      <c r="R663">
        <v>0</v>
      </c>
      <c r="S663" t="s">
        <v>1322</v>
      </c>
      <c r="T663" t="s">
        <v>1680</v>
      </c>
      <c r="U663" t="s">
        <v>105</v>
      </c>
      <c r="V663" t="s">
        <v>111</v>
      </c>
      <c r="W663" t="s">
        <v>969</v>
      </c>
      <c r="X663" t="s">
        <v>1210</v>
      </c>
      <c r="Y663" t="s">
        <v>45</v>
      </c>
      <c r="Z663">
        <v>20</v>
      </c>
      <c r="AA663">
        <v>6</v>
      </c>
      <c r="AB663" t="s">
        <v>46</v>
      </c>
      <c r="AC663" t="s">
        <v>47</v>
      </c>
      <c r="AD663" t="s">
        <v>1740</v>
      </c>
      <c r="AE663" t="s">
        <v>1741</v>
      </c>
    </row>
    <row r="664" spans="1:31" x14ac:dyDescent="0.2">
      <c r="A664" t="s">
        <v>31</v>
      </c>
      <c r="B664">
        <v>2018</v>
      </c>
      <c r="C664">
        <v>27</v>
      </c>
      <c r="D664" s="1">
        <v>43218</v>
      </c>
      <c r="E664" t="s">
        <v>807</v>
      </c>
      <c r="F664" t="s">
        <v>1015</v>
      </c>
      <c r="G664" t="s">
        <v>53</v>
      </c>
      <c r="H664" t="s">
        <v>87</v>
      </c>
      <c r="I664" t="s">
        <v>87</v>
      </c>
      <c r="J664" t="s">
        <v>37</v>
      </c>
      <c r="K664">
        <v>169</v>
      </c>
      <c r="L664">
        <v>5</v>
      </c>
      <c r="M664">
        <v>170</v>
      </c>
      <c r="N664">
        <v>2</v>
      </c>
      <c r="O664" t="s">
        <v>87</v>
      </c>
      <c r="P664" t="s">
        <v>38</v>
      </c>
      <c r="Q664">
        <v>0</v>
      </c>
      <c r="R664">
        <v>8</v>
      </c>
      <c r="S664" t="s">
        <v>369</v>
      </c>
      <c r="T664" t="s">
        <v>1553</v>
      </c>
      <c r="U664" t="s">
        <v>1283</v>
      </c>
      <c r="V664" t="s">
        <v>989</v>
      </c>
      <c r="W664" t="s">
        <v>1189</v>
      </c>
      <c r="X664" t="s">
        <v>1728</v>
      </c>
      <c r="Y664" t="s">
        <v>45</v>
      </c>
      <c r="Z664">
        <v>20</v>
      </c>
      <c r="AA664">
        <v>6</v>
      </c>
      <c r="AB664" t="s">
        <v>46</v>
      </c>
      <c r="AC664" t="s">
        <v>47</v>
      </c>
      <c r="AD664" t="s">
        <v>1742</v>
      </c>
      <c r="AE664" t="s">
        <v>1743</v>
      </c>
    </row>
    <row r="665" spans="1:31" x14ac:dyDescent="0.2">
      <c r="A665" t="s">
        <v>31</v>
      </c>
      <c r="B665">
        <v>2018</v>
      </c>
      <c r="C665">
        <v>28</v>
      </c>
      <c r="D665" s="1">
        <v>43219</v>
      </c>
      <c r="E665" t="s">
        <v>95</v>
      </c>
      <c r="F665" t="s">
        <v>96</v>
      </c>
      <c r="G665" t="s">
        <v>968</v>
      </c>
      <c r="H665" t="s">
        <v>66</v>
      </c>
      <c r="I665" t="s">
        <v>968</v>
      </c>
      <c r="J665" t="s">
        <v>54</v>
      </c>
      <c r="K665">
        <v>151</v>
      </c>
      <c r="L665">
        <v>7</v>
      </c>
      <c r="M665">
        <v>140</v>
      </c>
      <c r="N665">
        <v>6</v>
      </c>
      <c r="O665" t="s">
        <v>968</v>
      </c>
      <c r="P665" t="s">
        <v>38</v>
      </c>
      <c r="Q665">
        <v>11</v>
      </c>
      <c r="R665">
        <v>0</v>
      </c>
      <c r="S665" t="s">
        <v>1596</v>
      </c>
      <c r="T665" t="s">
        <v>440</v>
      </c>
      <c r="U665" t="s">
        <v>819</v>
      </c>
      <c r="V665" t="s">
        <v>969</v>
      </c>
      <c r="W665" t="s">
        <v>111</v>
      </c>
      <c r="X665" t="s">
        <v>1733</v>
      </c>
      <c r="Y665" t="s">
        <v>45</v>
      </c>
      <c r="Z665">
        <v>20</v>
      </c>
      <c r="AA665">
        <v>6</v>
      </c>
      <c r="AB665" t="s">
        <v>46</v>
      </c>
      <c r="AC665" t="s">
        <v>47</v>
      </c>
      <c r="AD665" t="s">
        <v>1744</v>
      </c>
      <c r="AE665" t="s">
        <v>1745</v>
      </c>
    </row>
    <row r="666" spans="1:31" x14ac:dyDescent="0.2">
      <c r="A666" t="s">
        <v>31</v>
      </c>
      <c r="B666">
        <v>2018</v>
      </c>
      <c r="C666">
        <v>29</v>
      </c>
      <c r="D666" s="1">
        <v>43219</v>
      </c>
      <c r="E666" t="s">
        <v>1558</v>
      </c>
      <c r="F666" t="s">
        <v>1559</v>
      </c>
      <c r="G666" t="s">
        <v>35</v>
      </c>
      <c r="H666" t="s">
        <v>36</v>
      </c>
      <c r="I666" t="s">
        <v>36</v>
      </c>
      <c r="J666" t="s">
        <v>37</v>
      </c>
      <c r="K666">
        <v>175</v>
      </c>
      <c r="L666">
        <v>4</v>
      </c>
      <c r="M666">
        <v>176</v>
      </c>
      <c r="N666">
        <v>5</v>
      </c>
      <c r="O666" t="s">
        <v>36</v>
      </c>
      <c r="P666" t="s">
        <v>38</v>
      </c>
      <c r="Q666">
        <v>0</v>
      </c>
      <c r="R666">
        <v>6</v>
      </c>
      <c r="S666" t="s">
        <v>1164</v>
      </c>
      <c r="T666" t="s">
        <v>1279</v>
      </c>
      <c r="U666" t="s">
        <v>146</v>
      </c>
      <c r="V666" t="s">
        <v>1064</v>
      </c>
      <c r="W666" t="s">
        <v>939</v>
      </c>
      <c r="X666" t="s">
        <v>1193</v>
      </c>
      <c r="Y666" t="s">
        <v>45</v>
      </c>
      <c r="Z666">
        <v>20</v>
      </c>
      <c r="AA666">
        <v>6</v>
      </c>
      <c r="AB666" t="s">
        <v>46</v>
      </c>
      <c r="AC666" t="s">
        <v>47</v>
      </c>
      <c r="AD666" t="s">
        <v>1746</v>
      </c>
      <c r="AE666" t="s">
        <v>1747</v>
      </c>
    </row>
    <row r="667" spans="1:31" x14ac:dyDescent="0.2">
      <c r="A667" t="s">
        <v>31</v>
      </c>
      <c r="B667">
        <v>2018</v>
      </c>
      <c r="C667">
        <v>30</v>
      </c>
      <c r="D667" s="1">
        <v>43220</v>
      </c>
      <c r="E667" t="s">
        <v>807</v>
      </c>
      <c r="F667" t="s">
        <v>1015</v>
      </c>
      <c r="G667" t="s">
        <v>53</v>
      </c>
      <c r="H667" t="s">
        <v>65</v>
      </c>
      <c r="I667" t="s">
        <v>65</v>
      </c>
      <c r="J667" t="s">
        <v>37</v>
      </c>
      <c r="K667">
        <v>211</v>
      </c>
      <c r="L667">
        <v>4</v>
      </c>
      <c r="M667">
        <v>198</v>
      </c>
      <c r="N667">
        <v>5</v>
      </c>
      <c r="O667" t="s">
        <v>53</v>
      </c>
      <c r="P667" t="s">
        <v>38</v>
      </c>
      <c r="Q667">
        <v>13</v>
      </c>
      <c r="R667">
        <v>0</v>
      </c>
      <c r="S667" t="s">
        <v>97</v>
      </c>
      <c r="T667" t="s">
        <v>1553</v>
      </c>
      <c r="U667" t="s">
        <v>1189</v>
      </c>
      <c r="V667" t="s">
        <v>105</v>
      </c>
      <c r="W667" t="s">
        <v>158</v>
      </c>
      <c r="X667" t="s">
        <v>1728</v>
      </c>
      <c r="Y667" t="s">
        <v>45</v>
      </c>
      <c r="Z667">
        <v>20</v>
      </c>
      <c r="AA667">
        <v>6</v>
      </c>
      <c r="AB667" t="s">
        <v>46</v>
      </c>
      <c r="AC667" t="s">
        <v>47</v>
      </c>
      <c r="AD667" t="s">
        <v>1748</v>
      </c>
      <c r="AE667" t="s">
        <v>1740</v>
      </c>
    </row>
    <row r="668" spans="1:31" x14ac:dyDescent="0.2">
      <c r="A668" t="s">
        <v>31</v>
      </c>
      <c r="B668">
        <v>2018</v>
      </c>
      <c r="C668">
        <v>31</v>
      </c>
      <c r="D668" s="1">
        <v>43221</v>
      </c>
      <c r="E668" t="s">
        <v>1558</v>
      </c>
      <c r="F668" t="s">
        <v>1559</v>
      </c>
      <c r="G668" t="s">
        <v>35</v>
      </c>
      <c r="H668" t="s">
        <v>87</v>
      </c>
      <c r="I668" t="s">
        <v>87</v>
      </c>
      <c r="J668" t="s">
        <v>37</v>
      </c>
      <c r="K668">
        <v>167</v>
      </c>
      <c r="L668">
        <v>7</v>
      </c>
      <c r="M668">
        <v>153</v>
      </c>
      <c r="N668">
        <v>7</v>
      </c>
      <c r="O668" t="s">
        <v>35</v>
      </c>
      <c r="P668" t="s">
        <v>38</v>
      </c>
      <c r="Q668">
        <v>14</v>
      </c>
      <c r="R668">
        <v>0</v>
      </c>
      <c r="S668" t="s">
        <v>1749</v>
      </c>
      <c r="T668" t="s">
        <v>40</v>
      </c>
      <c r="U668" t="s">
        <v>297</v>
      </c>
      <c r="V668" t="s">
        <v>989</v>
      </c>
      <c r="W668" t="s">
        <v>1417</v>
      </c>
      <c r="X668" t="s">
        <v>1547</v>
      </c>
      <c r="Y668" t="s">
        <v>45</v>
      </c>
      <c r="Z668">
        <v>20</v>
      </c>
      <c r="AA668">
        <v>6</v>
      </c>
      <c r="AB668" t="s">
        <v>46</v>
      </c>
      <c r="AC668" t="s">
        <v>47</v>
      </c>
      <c r="AD668" t="s">
        <v>1750</v>
      </c>
      <c r="AE668" t="s">
        <v>1751</v>
      </c>
    </row>
    <row r="669" spans="1:31" x14ac:dyDescent="0.2">
      <c r="A669" t="s">
        <v>31</v>
      </c>
      <c r="B669">
        <v>2018</v>
      </c>
      <c r="C669">
        <v>32</v>
      </c>
      <c r="D669" s="1">
        <v>43222</v>
      </c>
      <c r="E669" t="s">
        <v>63</v>
      </c>
      <c r="F669" t="s">
        <v>1731</v>
      </c>
      <c r="G669" t="s">
        <v>65</v>
      </c>
      <c r="H669" t="s">
        <v>66</v>
      </c>
      <c r="I669" t="s">
        <v>66</v>
      </c>
      <c r="J669" t="s">
        <v>37</v>
      </c>
      <c r="K669">
        <v>196</v>
      </c>
      <c r="L669">
        <v>6</v>
      </c>
      <c r="M669">
        <v>146</v>
      </c>
      <c r="N669">
        <v>5</v>
      </c>
      <c r="O669" t="s">
        <v>65</v>
      </c>
      <c r="P669" t="s">
        <v>38</v>
      </c>
      <c r="Q669">
        <v>4</v>
      </c>
      <c r="R669">
        <v>0</v>
      </c>
      <c r="S669" t="s">
        <v>1482</v>
      </c>
      <c r="T669" t="s">
        <v>440</v>
      </c>
      <c r="U669" t="s">
        <v>158</v>
      </c>
      <c r="V669" t="s">
        <v>939</v>
      </c>
      <c r="W669" t="s">
        <v>819</v>
      </c>
      <c r="X669" t="s">
        <v>1733</v>
      </c>
      <c r="Y669" t="s">
        <v>45</v>
      </c>
      <c r="Z669">
        <v>20</v>
      </c>
      <c r="AA669">
        <v>6</v>
      </c>
      <c r="AB669" t="s">
        <v>46</v>
      </c>
      <c r="AC669" t="s">
        <v>47</v>
      </c>
      <c r="AD669" t="s">
        <v>1752</v>
      </c>
      <c r="AE669" t="s">
        <v>1753</v>
      </c>
    </row>
    <row r="670" spans="1:31" x14ac:dyDescent="0.2">
      <c r="A670" t="s">
        <v>31</v>
      </c>
      <c r="B670">
        <v>2018</v>
      </c>
      <c r="C670">
        <v>33</v>
      </c>
      <c r="D670" s="1">
        <v>43223</v>
      </c>
      <c r="E670" t="s">
        <v>75</v>
      </c>
      <c r="F670" t="s">
        <v>76</v>
      </c>
      <c r="G670" t="s">
        <v>53</v>
      </c>
      <c r="H670" t="s">
        <v>36</v>
      </c>
      <c r="I670" t="s">
        <v>36</v>
      </c>
      <c r="J670" t="s">
        <v>37</v>
      </c>
      <c r="K670">
        <v>177</v>
      </c>
      <c r="L670">
        <v>5</v>
      </c>
      <c r="M670">
        <v>180</v>
      </c>
      <c r="N670">
        <v>4</v>
      </c>
      <c r="O670" t="s">
        <v>36</v>
      </c>
      <c r="P670" t="s">
        <v>38</v>
      </c>
      <c r="Q670">
        <v>0</v>
      </c>
      <c r="R670">
        <v>6</v>
      </c>
      <c r="S670" t="s">
        <v>835</v>
      </c>
      <c r="T670" t="s">
        <v>1553</v>
      </c>
      <c r="U670" t="s">
        <v>1410</v>
      </c>
      <c r="V670" t="s">
        <v>312</v>
      </c>
      <c r="W670" t="s">
        <v>146</v>
      </c>
      <c r="X670" t="s">
        <v>1193</v>
      </c>
      <c r="Y670" t="s">
        <v>45</v>
      </c>
      <c r="Z670">
        <v>20</v>
      </c>
      <c r="AA670">
        <v>6</v>
      </c>
      <c r="AB670" t="s">
        <v>46</v>
      </c>
      <c r="AC670" t="s">
        <v>47</v>
      </c>
      <c r="AD670" t="s">
        <v>1754</v>
      </c>
      <c r="AE670" t="s">
        <v>1755</v>
      </c>
    </row>
    <row r="671" spans="1:31" x14ac:dyDescent="0.2">
      <c r="A671" t="s">
        <v>31</v>
      </c>
      <c r="B671">
        <v>2018</v>
      </c>
      <c r="C671">
        <v>34</v>
      </c>
      <c r="D671" s="1">
        <v>43224</v>
      </c>
      <c r="E671" t="s">
        <v>740</v>
      </c>
      <c r="F671" t="s">
        <v>741</v>
      </c>
      <c r="G671" t="s">
        <v>52</v>
      </c>
      <c r="H671" t="s">
        <v>87</v>
      </c>
      <c r="I671" t="s">
        <v>87</v>
      </c>
      <c r="J671" t="s">
        <v>37</v>
      </c>
      <c r="K671">
        <v>174</v>
      </c>
      <c r="L671">
        <v>6</v>
      </c>
      <c r="M671">
        <v>176</v>
      </c>
      <c r="N671">
        <v>4</v>
      </c>
      <c r="O671" t="s">
        <v>87</v>
      </c>
      <c r="P671" t="s">
        <v>38</v>
      </c>
      <c r="Q671">
        <v>0</v>
      </c>
      <c r="R671">
        <v>6</v>
      </c>
      <c r="S671" t="s">
        <v>1455</v>
      </c>
      <c r="T671" t="s">
        <v>1279</v>
      </c>
      <c r="U671" t="s">
        <v>1189</v>
      </c>
      <c r="V671" t="s">
        <v>111</v>
      </c>
      <c r="W671" t="s">
        <v>105</v>
      </c>
      <c r="X671" t="s">
        <v>1728</v>
      </c>
      <c r="Y671" t="s">
        <v>45</v>
      </c>
      <c r="Z671">
        <v>20</v>
      </c>
      <c r="AA671">
        <v>6</v>
      </c>
      <c r="AB671" t="s">
        <v>46</v>
      </c>
      <c r="AC671" t="s">
        <v>47</v>
      </c>
      <c r="AD671" t="s">
        <v>1756</v>
      </c>
      <c r="AE671" t="s">
        <v>1757</v>
      </c>
    </row>
    <row r="672" spans="1:31" x14ac:dyDescent="0.2">
      <c r="A672" t="s">
        <v>31</v>
      </c>
      <c r="B672">
        <v>2018</v>
      </c>
      <c r="C672">
        <v>35</v>
      </c>
      <c r="D672" s="1">
        <v>43225</v>
      </c>
      <c r="E672" t="s">
        <v>807</v>
      </c>
      <c r="F672" t="s">
        <v>1015</v>
      </c>
      <c r="G672" t="s">
        <v>35</v>
      </c>
      <c r="H672" t="s">
        <v>53</v>
      </c>
      <c r="I672" t="s">
        <v>53</v>
      </c>
      <c r="J672" t="s">
        <v>37</v>
      </c>
      <c r="K672">
        <v>127</v>
      </c>
      <c r="L672">
        <v>9</v>
      </c>
      <c r="M672">
        <v>128</v>
      </c>
      <c r="N672">
        <v>4</v>
      </c>
      <c r="O672" t="s">
        <v>53</v>
      </c>
      <c r="P672" t="s">
        <v>38</v>
      </c>
      <c r="Q672">
        <v>0</v>
      </c>
      <c r="R672">
        <v>6</v>
      </c>
      <c r="S672" t="s">
        <v>802</v>
      </c>
      <c r="T672" t="s">
        <v>40</v>
      </c>
      <c r="U672" t="s">
        <v>989</v>
      </c>
      <c r="V672" t="s">
        <v>1417</v>
      </c>
      <c r="W672" t="s">
        <v>297</v>
      </c>
      <c r="X672" t="s">
        <v>1547</v>
      </c>
      <c r="Y672" t="s">
        <v>45</v>
      </c>
      <c r="Z672">
        <v>20</v>
      </c>
      <c r="AA672">
        <v>6</v>
      </c>
      <c r="AB672" t="s">
        <v>46</v>
      </c>
      <c r="AC672" t="s">
        <v>47</v>
      </c>
      <c r="AD672" t="s">
        <v>1758</v>
      </c>
      <c r="AE672" t="s">
        <v>1759</v>
      </c>
    </row>
    <row r="673" spans="1:31" x14ac:dyDescent="0.2">
      <c r="A673" t="s">
        <v>31</v>
      </c>
      <c r="B673">
        <v>2018</v>
      </c>
      <c r="C673">
        <v>36</v>
      </c>
      <c r="D673" s="1">
        <v>43225</v>
      </c>
      <c r="E673" t="s">
        <v>101</v>
      </c>
      <c r="F673" t="s">
        <v>1689</v>
      </c>
      <c r="G673" t="s">
        <v>65</v>
      </c>
      <c r="H673" t="s">
        <v>968</v>
      </c>
      <c r="I673" t="s">
        <v>65</v>
      </c>
      <c r="J673" t="s">
        <v>54</v>
      </c>
      <c r="K673">
        <v>163</v>
      </c>
      <c r="L673">
        <v>5</v>
      </c>
      <c r="M673">
        <v>164</v>
      </c>
      <c r="N673">
        <v>3</v>
      </c>
      <c r="O673" t="s">
        <v>968</v>
      </c>
      <c r="P673" t="s">
        <v>38</v>
      </c>
      <c r="Q673">
        <v>0</v>
      </c>
      <c r="R673">
        <v>7</v>
      </c>
      <c r="S673" t="s">
        <v>1562</v>
      </c>
      <c r="T673" t="s">
        <v>440</v>
      </c>
      <c r="U673" t="s">
        <v>819</v>
      </c>
      <c r="V673" t="s">
        <v>158</v>
      </c>
      <c r="W673" t="s">
        <v>939</v>
      </c>
      <c r="X673" t="s">
        <v>1733</v>
      </c>
      <c r="Y673" t="s">
        <v>45</v>
      </c>
      <c r="Z673">
        <v>20</v>
      </c>
      <c r="AA673">
        <v>6</v>
      </c>
      <c r="AB673" t="s">
        <v>46</v>
      </c>
      <c r="AC673" t="s">
        <v>47</v>
      </c>
      <c r="AD673" t="s">
        <v>1760</v>
      </c>
      <c r="AE673" t="s">
        <v>1761</v>
      </c>
    </row>
    <row r="674" spans="1:31" x14ac:dyDescent="0.2">
      <c r="A674" t="s">
        <v>31</v>
      </c>
      <c r="B674">
        <v>2018</v>
      </c>
      <c r="C674">
        <v>37</v>
      </c>
      <c r="D674" s="1">
        <v>43226</v>
      </c>
      <c r="E674" t="s">
        <v>85</v>
      </c>
      <c r="F674" t="s">
        <v>86</v>
      </c>
      <c r="G674" t="s">
        <v>87</v>
      </c>
      <c r="H674" t="s">
        <v>36</v>
      </c>
      <c r="I674" t="s">
        <v>36</v>
      </c>
      <c r="J674" t="s">
        <v>37</v>
      </c>
      <c r="K674">
        <v>181</v>
      </c>
      <c r="L674">
        <v>4</v>
      </c>
      <c r="M674">
        <v>168</v>
      </c>
      <c r="N674">
        <v>6</v>
      </c>
      <c r="O674" t="s">
        <v>87</v>
      </c>
      <c r="P674" t="s">
        <v>38</v>
      </c>
      <c r="Q674">
        <v>13</v>
      </c>
      <c r="R674">
        <v>0</v>
      </c>
      <c r="S674" t="s">
        <v>1369</v>
      </c>
      <c r="T674" t="s">
        <v>1553</v>
      </c>
      <c r="U674" t="s">
        <v>1410</v>
      </c>
      <c r="V674" t="s">
        <v>312</v>
      </c>
      <c r="W674" t="s">
        <v>146</v>
      </c>
      <c r="X674" t="s">
        <v>1193</v>
      </c>
      <c r="Y674" t="s">
        <v>45</v>
      </c>
      <c r="Z674">
        <v>20</v>
      </c>
      <c r="AA674">
        <v>6</v>
      </c>
      <c r="AB674" t="s">
        <v>46</v>
      </c>
      <c r="AC674" t="s">
        <v>47</v>
      </c>
      <c r="AD674" t="s">
        <v>1762</v>
      </c>
      <c r="AE674" t="s">
        <v>1763</v>
      </c>
    </row>
    <row r="675" spans="1:31" x14ac:dyDescent="0.2">
      <c r="A675" t="s">
        <v>31</v>
      </c>
      <c r="B675">
        <v>2018</v>
      </c>
      <c r="C675">
        <v>38</v>
      </c>
      <c r="D675" s="1">
        <v>43226</v>
      </c>
      <c r="E675" t="s">
        <v>740</v>
      </c>
      <c r="F675" t="s">
        <v>741</v>
      </c>
      <c r="G675" t="s">
        <v>66</v>
      </c>
      <c r="H675" t="s">
        <v>52</v>
      </c>
      <c r="I675" t="s">
        <v>52</v>
      </c>
      <c r="J675" t="s">
        <v>37</v>
      </c>
      <c r="K675">
        <v>152</v>
      </c>
      <c r="L675">
        <v>9</v>
      </c>
      <c r="M675">
        <v>155</v>
      </c>
      <c r="N675">
        <v>4</v>
      </c>
      <c r="O675" t="s">
        <v>52</v>
      </c>
      <c r="P675" t="s">
        <v>38</v>
      </c>
      <c r="Q675">
        <v>0</v>
      </c>
      <c r="R675">
        <v>6</v>
      </c>
      <c r="S675" t="s">
        <v>1764</v>
      </c>
      <c r="T675" t="s">
        <v>1279</v>
      </c>
      <c r="U675" t="s">
        <v>105</v>
      </c>
      <c r="V675" t="s">
        <v>111</v>
      </c>
      <c r="W675" t="s">
        <v>1189</v>
      </c>
      <c r="X675" t="s">
        <v>1728</v>
      </c>
      <c r="Y675" t="s">
        <v>45</v>
      </c>
      <c r="Z675">
        <v>20</v>
      </c>
      <c r="AA675">
        <v>6</v>
      </c>
      <c r="AB675" t="s">
        <v>46</v>
      </c>
      <c r="AC675" t="s">
        <v>47</v>
      </c>
      <c r="AD675" t="s">
        <v>1765</v>
      </c>
      <c r="AE675" t="s">
        <v>1766</v>
      </c>
    </row>
    <row r="676" spans="1:31" x14ac:dyDescent="0.2">
      <c r="A676" t="s">
        <v>31</v>
      </c>
      <c r="B676">
        <v>2018</v>
      </c>
      <c r="C676">
        <v>39</v>
      </c>
      <c r="D676" s="1">
        <v>43227</v>
      </c>
      <c r="E676" t="s">
        <v>101</v>
      </c>
      <c r="F676" t="s">
        <v>1689</v>
      </c>
      <c r="G676" t="s">
        <v>968</v>
      </c>
      <c r="H676" t="s">
        <v>35</v>
      </c>
      <c r="I676" t="s">
        <v>35</v>
      </c>
      <c r="J676" t="s">
        <v>37</v>
      </c>
      <c r="K676">
        <v>146</v>
      </c>
      <c r="L676">
        <v>10</v>
      </c>
      <c r="M676">
        <v>141</v>
      </c>
      <c r="N676">
        <v>6</v>
      </c>
      <c r="O676" t="s">
        <v>968</v>
      </c>
      <c r="P676" t="s">
        <v>38</v>
      </c>
      <c r="Q676">
        <v>5</v>
      </c>
      <c r="R676">
        <v>0</v>
      </c>
      <c r="S676" t="s">
        <v>1596</v>
      </c>
      <c r="T676" t="s">
        <v>440</v>
      </c>
      <c r="U676" t="s">
        <v>819</v>
      </c>
      <c r="V676" t="s">
        <v>939</v>
      </c>
      <c r="W676" t="s">
        <v>158</v>
      </c>
      <c r="X676" t="s">
        <v>1733</v>
      </c>
      <c r="Y676" t="s">
        <v>45</v>
      </c>
      <c r="Z676">
        <v>20</v>
      </c>
      <c r="AA676">
        <v>6</v>
      </c>
      <c r="AB676" t="s">
        <v>46</v>
      </c>
      <c r="AC676" t="s">
        <v>47</v>
      </c>
      <c r="AD676" t="s">
        <v>1767</v>
      </c>
      <c r="AE676" t="s">
        <v>1768</v>
      </c>
    </row>
    <row r="677" spans="1:31" x14ac:dyDescent="0.2">
      <c r="A677" t="s">
        <v>31</v>
      </c>
      <c r="B677">
        <v>2018</v>
      </c>
      <c r="C677">
        <v>40</v>
      </c>
      <c r="D677" s="1">
        <v>43228</v>
      </c>
      <c r="E677" t="s">
        <v>95</v>
      </c>
      <c r="F677" t="s">
        <v>96</v>
      </c>
      <c r="G677" t="s">
        <v>66</v>
      </c>
      <c r="H677" t="s">
        <v>52</v>
      </c>
      <c r="I677" t="s">
        <v>66</v>
      </c>
      <c r="J677" t="s">
        <v>54</v>
      </c>
      <c r="K677">
        <v>158</v>
      </c>
      <c r="L677">
        <v>8</v>
      </c>
      <c r="M677">
        <v>143</v>
      </c>
      <c r="N677">
        <v>7</v>
      </c>
      <c r="O677" t="s">
        <v>66</v>
      </c>
      <c r="P677" t="s">
        <v>38</v>
      </c>
      <c r="Q677">
        <v>15</v>
      </c>
      <c r="R677">
        <v>0</v>
      </c>
      <c r="S677" t="s">
        <v>1599</v>
      </c>
      <c r="T677" t="s">
        <v>40</v>
      </c>
      <c r="U677" t="s">
        <v>297</v>
      </c>
      <c r="V677" t="s">
        <v>989</v>
      </c>
      <c r="W677" t="s">
        <v>1417</v>
      </c>
      <c r="X677" t="s">
        <v>1547</v>
      </c>
      <c r="Y677" t="s">
        <v>45</v>
      </c>
      <c r="Z677">
        <v>20</v>
      </c>
      <c r="AA677">
        <v>6</v>
      </c>
      <c r="AB677" t="s">
        <v>46</v>
      </c>
      <c r="AC677" t="s">
        <v>47</v>
      </c>
      <c r="AD677" t="s">
        <v>1769</v>
      </c>
      <c r="AE677" t="s">
        <v>1770</v>
      </c>
    </row>
    <row r="678" spans="1:31" x14ac:dyDescent="0.2">
      <c r="A678" t="s">
        <v>31</v>
      </c>
      <c r="B678">
        <v>2018</v>
      </c>
      <c r="C678">
        <v>41</v>
      </c>
      <c r="D678" s="1">
        <v>43229</v>
      </c>
      <c r="E678" t="s">
        <v>75</v>
      </c>
      <c r="F678" t="s">
        <v>76</v>
      </c>
      <c r="G678" t="s">
        <v>87</v>
      </c>
      <c r="H678" t="s">
        <v>36</v>
      </c>
      <c r="I678" t="s">
        <v>36</v>
      </c>
      <c r="J678" t="s">
        <v>37</v>
      </c>
      <c r="K678">
        <v>210</v>
      </c>
      <c r="L678">
        <v>6</v>
      </c>
      <c r="M678">
        <v>108</v>
      </c>
      <c r="N678">
        <v>10</v>
      </c>
      <c r="O678" t="s">
        <v>87</v>
      </c>
      <c r="P678" t="s">
        <v>38</v>
      </c>
      <c r="Q678">
        <v>102</v>
      </c>
      <c r="R678">
        <v>0</v>
      </c>
      <c r="S678" t="s">
        <v>1771</v>
      </c>
      <c r="T678" t="s">
        <v>1772</v>
      </c>
      <c r="U678" t="s">
        <v>463</v>
      </c>
      <c r="V678" t="s">
        <v>146</v>
      </c>
      <c r="W678" t="s">
        <v>312</v>
      </c>
      <c r="X678" t="s">
        <v>1193</v>
      </c>
      <c r="Y678" t="s">
        <v>45</v>
      </c>
      <c r="Z678">
        <v>20</v>
      </c>
      <c r="AA678">
        <v>6</v>
      </c>
      <c r="AB678" t="s">
        <v>46</v>
      </c>
      <c r="AC678" t="s">
        <v>47</v>
      </c>
      <c r="AD678" t="s">
        <v>1773</v>
      </c>
      <c r="AE678" t="s">
        <v>1774</v>
      </c>
    </row>
    <row r="679" spans="1:31" x14ac:dyDescent="0.2">
      <c r="A679" t="s">
        <v>31</v>
      </c>
      <c r="B679">
        <v>2018</v>
      </c>
      <c r="C679">
        <v>42</v>
      </c>
      <c r="D679" s="1">
        <v>43230</v>
      </c>
      <c r="E679" t="s">
        <v>63</v>
      </c>
      <c r="F679" t="s">
        <v>1731</v>
      </c>
      <c r="G679" t="s">
        <v>65</v>
      </c>
      <c r="H679" t="s">
        <v>968</v>
      </c>
      <c r="I679" t="s">
        <v>65</v>
      </c>
      <c r="J679" t="s">
        <v>54</v>
      </c>
      <c r="K679">
        <v>187</v>
      </c>
      <c r="L679">
        <v>5</v>
      </c>
      <c r="M679">
        <v>191</v>
      </c>
      <c r="N679">
        <v>1</v>
      </c>
      <c r="O679" t="s">
        <v>968</v>
      </c>
      <c r="P679" t="s">
        <v>38</v>
      </c>
      <c r="Q679">
        <v>0</v>
      </c>
      <c r="R679">
        <v>9</v>
      </c>
      <c r="S679" t="s">
        <v>763</v>
      </c>
      <c r="T679" t="s">
        <v>1279</v>
      </c>
      <c r="U679" t="s">
        <v>1189</v>
      </c>
      <c r="V679" t="s">
        <v>105</v>
      </c>
      <c r="W679" t="s">
        <v>111</v>
      </c>
      <c r="X679" t="s">
        <v>1728</v>
      </c>
      <c r="Y679" t="s">
        <v>45</v>
      </c>
      <c r="Z679">
        <v>20</v>
      </c>
      <c r="AA679">
        <v>6</v>
      </c>
      <c r="AB679" t="s">
        <v>46</v>
      </c>
      <c r="AC679" t="s">
        <v>47</v>
      </c>
      <c r="AD679" t="s">
        <v>1775</v>
      </c>
      <c r="AE679" t="s">
        <v>1776</v>
      </c>
    </row>
    <row r="680" spans="1:31" x14ac:dyDescent="0.2">
      <c r="A680" t="s">
        <v>31</v>
      </c>
      <c r="B680">
        <v>2018</v>
      </c>
      <c r="C680">
        <v>43</v>
      </c>
      <c r="D680" s="1">
        <v>43231</v>
      </c>
      <c r="E680" t="s">
        <v>95</v>
      </c>
      <c r="F680" t="s">
        <v>96</v>
      </c>
      <c r="G680" t="s">
        <v>53</v>
      </c>
      <c r="H680" t="s">
        <v>66</v>
      </c>
      <c r="I680" t="s">
        <v>53</v>
      </c>
      <c r="J680" t="s">
        <v>54</v>
      </c>
      <c r="K680">
        <v>176</v>
      </c>
      <c r="L680">
        <v>4</v>
      </c>
      <c r="M680">
        <v>177</v>
      </c>
      <c r="N680">
        <v>6</v>
      </c>
      <c r="O680" t="s">
        <v>66</v>
      </c>
      <c r="P680" t="s">
        <v>38</v>
      </c>
      <c r="Q680">
        <v>0</v>
      </c>
      <c r="R680">
        <v>4</v>
      </c>
      <c r="S680" t="s">
        <v>1599</v>
      </c>
      <c r="T680" t="s">
        <v>40</v>
      </c>
      <c r="U680" t="s">
        <v>297</v>
      </c>
      <c r="V680" t="s">
        <v>1417</v>
      </c>
      <c r="W680" t="s">
        <v>989</v>
      </c>
      <c r="X680" t="s">
        <v>1547</v>
      </c>
      <c r="Y680" t="s">
        <v>45</v>
      </c>
      <c r="Z680">
        <v>20</v>
      </c>
      <c r="AA680">
        <v>6</v>
      </c>
      <c r="AB680" t="s">
        <v>46</v>
      </c>
      <c r="AC680" t="s">
        <v>47</v>
      </c>
      <c r="AD680" t="s">
        <v>1777</v>
      </c>
      <c r="AE680" t="s">
        <v>1778</v>
      </c>
    </row>
    <row r="681" spans="1:31" x14ac:dyDescent="0.2">
      <c r="A681" t="s">
        <v>31</v>
      </c>
      <c r="B681">
        <v>2018</v>
      </c>
      <c r="C681">
        <v>44</v>
      </c>
      <c r="D681" s="1">
        <v>43232</v>
      </c>
      <c r="E681" t="s">
        <v>740</v>
      </c>
      <c r="F681" t="s">
        <v>741</v>
      </c>
      <c r="G681" t="s">
        <v>36</v>
      </c>
      <c r="H681" t="s">
        <v>52</v>
      </c>
      <c r="I681" t="s">
        <v>52</v>
      </c>
      <c r="J681" t="s">
        <v>37</v>
      </c>
      <c r="K681">
        <v>245</v>
      </c>
      <c r="L681">
        <v>6</v>
      </c>
      <c r="M681">
        <v>214</v>
      </c>
      <c r="N681">
        <v>8</v>
      </c>
      <c r="O681" t="s">
        <v>36</v>
      </c>
      <c r="P681" t="s">
        <v>38</v>
      </c>
      <c r="Q681">
        <v>31</v>
      </c>
      <c r="R681">
        <v>0</v>
      </c>
      <c r="S681" t="s">
        <v>835</v>
      </c>
      <c r="T681" t="s">
        <v>440</v>
      </c>
      <c r="U681" t="s">
        <v>158</v>
      </c>
      <c r="V681" t="s">
        <v>939</v>
      </c>
      <c r="W681" t="s">
        <v>819</v>
      </c>
      <c r="X681" t="s">
        <v>1733</v>
      </c>
      <c r="Y681" t="s">
        <v>45</v>
      </c>
      <c r="Z681">
        <v>20</v>
      </c>
      <c r="AA681">
        <v>6</v>
      </c>
      <c r="AB681" t="s">
        <v>46</v>
      </c>
      <c r="AC681" t="s">
        <v>47</v>
      </c>
      <c r="AD681" t="s">
        <v>1779</v>
      </c>
      <c r="AE681" t="s">
        <v>1780</v>
      </c>
    </row>
    <row r="682" spans="1:31" x14ac:dyDescent="0.2">
      <c r="A682" t="s">
        <v>31</v>
      </c>
      <c r="B682">
        <v>2018</v>
      </c>
      <c r="C682">
        <v>45</v>
      </c>
      <c r="D682" s="1">
        <v>43232</v>
      </c>
      <c r="E682" t="s">
        <v>63</v>
      </c>
      <c r="F682" t="s">
        <v>1731</v>
      </c>
      <c r="G682" t="s">
        <v>65</v>
      </c>
      <c r="H682" t="s">
        <v>35</v>
      </c>
      <c r="I682" t="s">
        <v>35</v>
      </c>
      <c r="J682" t="s">
        <v>37</v>
      </c>
      <c r="K682">
        <v>181</v>
      </c>
      <c r="L682">
        <v>4</v>
      </c>
      <c r="M682">
        <v>187</v>
      </c>
      <c r="N682">
        <v>5</v>
      </c>
      <c r="O682" t="s">
        <v>35</v>
      </c>
      <c r="P682" t="s">
        <v>38</v>
      </c>
      <c r="Q682">
        <v>0</v>
      </c>
      <c r="R682">
        <v>5</v>
      </c>
      <c r="S682" t="s">
        <v>300</v>
      </c>
      <c r="T682" t="s">
        <v>1772</v>
      </c>
      <c r="U682" t="s">
        <v>463</v>
      </c>
      <c r="V682" t="s">
        <v>312</v>
      </c>
      <c r="W682" t="s">
        <v>146</v>
      </c>
      <c r="X682" t="s">
        <v>605</v>
      </c>
      <c r="Y682" t="s">
        <v>45</v>
      </c>
      <c r="Z682">
        <v>20</v>
      </c>
      <c r="AA682">
        <v>6</v>
      </c>
      <c r="AB682" t="s">
        <v>46</v>
      </c>
      <c r="AC682" t="s">
        <v>47</v>
      </c>
      <c r="AD682" t="s">
        <v>1781</v>
      </c>
      <c r="AE682" t="s">
        <v>1782</v>
      </c>
    </row>
    <row r="683" spans="1:31" x14ac:dyDescent="0.2">
      <c r="A683" t="s">
        <v>31</v>
      </c>
      <c r="B683">
        <v>2018</v>
      </c>
      <c r="C683">
        <v>46</v>
      </c>
      <c r="D683" s="1">
        <v>43233</v>
      </c>
      <c r="E683" t="s">
        <v>807</v>
      </c>
      <c r="F683" t="s">
        <v>1015</v>
      </c>
      <c r="G683" t="s">
        <v>968</v>
      </c>
      <c r="H683" t="s">
        <v>53</v>
      </c>
      <c r="I683" t="s">
        <v>53</v>
      </c>
      <c r="J683" t="s">
        <v>37</v>
      </c>
      <c r="K683">
        <v>179</v>
      </c>
      <c r="L683">
        <v>4</v>
      </c>
      <c r="M683">
        <v>180</v>
      </c>
      <c r="N683">
        <v>2</v>
      </c>
      <c r="O683" t="s">
        <v>53</v>
      </c>
      <c r="P683" t="s">
        <v>38</v>
      </c>
      <c r="Q683">
        <v>0</v>
      </c>
      <c r="R683">
        <v>8</v>
      </c>
      <c r="S683" t="s">
        <v>530</v>
      </c>
      <c r="T683" t="s">
        <v>1279</v>
      </c>
      <c r="U683" t="s">
        <v>297</v>
      </c>
      <c r="V683" t="s">
        <v>1417</v>
      </c>
      <c r="W683" t="s">
        <v>1189</v>
      </c>
      <c r="X683" t="s">
        <v>1728</v>
      </c>
      <c r="Y683" t="s">
        <v>45</v>
      </c>
      <c r="Z683">
        <v>20</v>
      </c>
      <c r="AA683">
        <v>6</v>
      </c>
      <c r="AB683" t="s">
        <v>46</v>
      </c>
      <c r="AC683" t="s">
        <v>47</v>
      </c>
      <c r="AD683" t="s">
        <v>1783</v>
      </c>
      <c r="AE683" t="s">
        <v>1784</v>
      </c>
    </row>
    <row r="684" spans="1:31" x14ac:dyDescent="0.2">
      <c r="A684" t="s">
        <v>31</v>
      </c>
      <c r="B684">
        <v>2018</v>
      </c>
      <c r="C684">
        <v>47</v>
      </c>
      <c r="D684" s="1">
        <v>43233</v>
      </c>
      <c r="E684" t="s">
        <v>85</v>
      </c>
      <c r="F684" t="s">
        <v>86</v>
      </c>
      <c r="G684" t="s">
        <v>87</v>
      </c>
      <c r="H684" t="s">
        <v>66</v>
      </c>
      <c r="I684" t="s">
        <v>66</v>
      </c>
      <c r="J684" t="s">
        <v>37</v>
      </c>
      <c r="K684">
        <v>168</v>
      </c>
      <c r="L684">
        <v>6</v>
      </c>
      <c r="M684">
        <v>171</v>
      </c>
      <c r="N684">
        <v>3</v>
      </c>
      <c r="O684" t="s">
        <v>66</v>
      </c>
      <c r="P684" t="s">
        <v>38</v>
      </c>
      <c r="Q684">
        <v>0</v>
      </c>
      <c r="R684">
        <v>7</v>
      </c>
      <c r="S684" t="s">
        <v>1599</v>
      </c>
      <c r="T684" t="s">
        <v>40</v>
      </c>
      <c r="U684" t="s">
        <v>989</v>
      </c>
      <c r="V684" t="s">
        <v>111</v>
      </c>
      <c r="W684" t="s">
        <v>105</v>
      </c>
      <c r="X684" t="s">
        <v>1210</v>
      </c>
      <c r="Y684" t="s">
        <v>45</v>
      </c>
      <c r="Z684">
        <v>20</v>
      </c>
      <c r="AA684">
        <v>6</v>
      </c>
      <c r="AB684" t="s">
        <v>46</v>
      </c>
      <c r="AC684" t="s">
        <v>47</v>
      </c>
      <c r="AD684" t="s">
        <v>1785</v>
      </c>
      <c r="AE684" t="s">
        <v>1786</v>
      </c>
    </row>
    <row r="685" spans="1:31" x14ac:dyDescent="0.2">
      <c r="A685" t="s">
        <v>31</v>
      </c>
      <c r="B685">
        <v>2018</v>
      </c>
      <c r="C685">
        <v>48</v>
      </c>
      <c r="D685" s="1">
        <v>43234</v>
      </c>
      <c r="E685" t="s">
        <v>740</v>
      </c>
      <c r="F685" t="s">
        <v>741</v>
      </c>
      <c r="G685" t="s">
        <v>52</v>
      </c>
      <c r="H685" t="s">
        <v>35</v>
      </c>
      <c r="I685" t="s">
        <v>35</v>
      </c>
      <c r="J685" t="s">
        <v>37</v>
      </c>
      <c r="K685">
        <v>88</v>
      </c>
      <c r="L685">
        <v>10</v>
      </c>
      <c r="M685">
        <v>92</v>
      </c>
      <c r="N685">
        <v>0</v>
      </c>
      <c r="O685" t="s">
        <v>35</v>
      </c>
      <c r="P685" t="s">
        <v>38</v>
      </c>
      <c r="Q685">
        <v>0</v>
      </c>
      <c r="R685">
        <v>10</v>
      </c>
      <c r="S685" t="s">
        <v>934</v>
      </c>
      <c r="T685" t="s">
        <v>440</v>
      </c>
      <c r="U685" t="s">
        <v>819</v>
      </c>
      <c r="V685" t="s">
        <v>939</v>
      </c>
      <c r="W685" t="s">
        <v>158</v>
      </c>
      <c r="X685" t="s">
        <v>1733</v>
      </c>
      <c r="Y685" t="s">
        <v>45</v>
      </c>
      <c r="Z685">
        <v>20</v>
      </c>
      <c r="AA685">
        <v>6</v>
      </c>
      <c r="AB685" t="s">
        <v>46</v>
      </c>
      <c r="AC685" t="s">
        <v>47</v>
      </c>
      <c r="AD685" t="s">
        <v>1787</v>
      </c>
      <c r="AE685" t="s">
        <v>1788</v>
      </c>
    </row>
    <row r="686" spans="1:31" x14ac:dyDescent="0.2">
      <c r="A686" t="s">
        <v>31</v>
      </c>
      <c r="B686">
        <v>2018</v>
      </c>
      <c r="C686">
        <v>49</v>
      </c>
      <c r="D686" s="1">
        <v>43235</v>
      </c>
      <c r="E686" t="s">
        <v>75</v>
      </c>
      <c r="F686" t="s">
        <v>76</v>
      </c>
      <c r="G686" t="s">
        <v>66</v>
      </c>
      <c r="H686" t="s">
        <v>36</v>
      </c>
      <c r="I686" t="s">
        <v>36</v>
      </c>
      <c r="J686" t="s">
        <v>37</v>
      </c>
      <c r="K686">
        <v>142</v>
      </c>
      <c r="L686">
        <v>10</v>
      </c>
      <c r="M686">
        <v>145</v>
      </c>
      <c r="N686">
        <v>4</v>
      </c>
      <c r="O686" t="s">
        <v>36</v>
      </c>
      <c r="P686" t="s">
        <v>38</v>
      </c>
      <c r="Q686">
        <v>0</v>
      </c>
      <c r="R686">
        <v>6</v>
      </c>
      <c r="S686" t="s">
        <v>1789</v>
      </c>
      <c r="T686" t="s">
        <v>1279</v>
      </c>
      <c r="U686" t="s">
        <v>146</v>
      </c>
      <c r="V686" t="s">
        <v>312</v>
      </c>
      <c r="W686" t="s">
        <v>642</v>
      </c>
      <c r="X686" t="s">
        <v>605</v>
      </c>
      <c r="Y686" t="s">
        <v>45</v>
      </c>
      <c r="Z686">
        <v>20</v>
      </c>
      <c r="AA686">
        <v>6</v>
      </c>
      <c r="AB686" t="s">
        <v>46</v>
      </c>
      <c r="AC686" t="s">
        <v>47</v>
      </c>
      <c r="AD686" t="s">
        <v>1790</v>
      </c>
      <c r="AE686" t="s">
        <v>1791</v>
      </c>
    </row>
    <row r="687" spans="1:31" x14ac:dyDescent="0.2">
      <c r="A687" t="s">
        <v>31</v>
      </c>
      <c r="B687">
        <v>2018</v>
      </c>
      <c r="C687">
        <v>50</v>
      </c>
      <c r="D687" s="1">
        <v>43236</v>
      </c>
      <c r="E687" t="s">
        <v>85</v>
      </c>
      <c r="F687" t="s">
        <v>86</v>
      </c>
      <c r="G687" t="s">
        <v>87</v>
      </c>
      <c r="H687" t="s">
        <v>52</v>
      </c>
      <c r="I687" t="s">
        <v>52</v>
      </c>
      <c r="J687" t="s">
        <v>37</v>
      </c>
      <c r="K687">
        <v>186</v>
      </c>
      <c r="L687">
        <v>8</v>
      </c>
      <c r="M687">
        <v>183</v>
      </c>
      <c r="N687">
        <v>5</v>
      </c>
      <c r="O687" t="s">
        <v>87</v>
      </c>
      <c r="P687" t="s">
        <v>38</v>
      </c>
      <c r="Q687">
        <v>3</v>
      </c>
      <c r="R687">
        <v>0</v>
      </c>
      <c r="S687" t="s">
        <v>1571</v>
      </c>
      <c r="T687" t="s">
        <v>40</v>
      </c>
      <c r="U687" t="s">
        <v>297</v>
      </c>
      <c r="V687" t="s">
        <v>989</v>
      </c>
      <c r="W687" t="s">
        <v>1417</v>
      </c>
      <c r="X687" t="s">
        <v>1210</v>
      </c>
      <c r="Y687" t="s">
        <v>45</v>
      </c>
      <c r="Z687">
        <v>20</v>
      </c>
      <c r="AA687">
        <v>6</v>
      </c>
      <c r="AB687" t="s">
        <v>46</v>
      </c>
      <c r="AC687" t="s">
        <v>47</v>
      </c>
      <c r="AD687" t="s">
        <v>1792</v>
      </c>
      <c r="AE687" t="s">
        <v>1793</v>
      </c>
    </row>
    <row r="688" spans="1:31" x14ac:dyDescent="0.2">
      <c r="A688" t="s">
        <v>31</v>
      </c>
      <c r="B688">
        <v>2018</v>
      </c>
      <c r="C688">
        <v>51</v>
      </c>
      <c r="D688" s="1">
        <v>43237</v>
      </c>
      <c r="E688" t="s">
        <v>1558</v>
      </c>
      <c r="F688" t="s">
        <v>1559</v>
      </c>
      <c r="G688" t="s">
        <v>35</v>
      </c>
      <c r="H688" t="s">
        <v>968</v>
      </c>
      <c r="I688" t="s">
        <v>968</v>
      </c>
      <c r="J688" t="s">
        <v>37</v>
      </c>
      <c r="K688">
        <v>218</v>
      </c>
      <c r="L688">
        <v>6</v>
      </c>
      <c r="M688">
        <v>204</v>
      </c>
      <c r="N688">
        <v>3</v>
      </c>
      <c r="O688" t="s">
        <v>35</v>
      </c>
      <c r="P688" t="s">
        <v>38</v>
      </c>
      <c r="Q688">
        <v>14</v>
      </c>
      <c r="R688">
        <v>0</v>
      </c>
      <c r="S688" t="s">
        <v>300</v>
      </c>
      <c r="T688" t="s">
        <v>1772</v>
      </c>
      <c r="U688" t="s">
        <v>1189</v>
      </c>
      <c r="V688" t="s">
        <v>111</v>
      </c>
      <c r="W688" t="s">
        <v>105</v>
      </c>
      <c r="X688" t="s">
        <v>1728</v>
      </c>
      <c r="Y688" t="s">
        <v>45</v>
      </c>
      <c r="Z688">
        <v>20</v>
      </c>
      <c r="AA688">
        <v>6</v>
      </c>
      <c r="AB688" t="s">
        <v>46</v>
      </c>
      <c r="AC688" t="s">
        <v>47</v>
      </c>
      <c r="AD688" t="s">
        <v>1794</v>
      </c>
      <c r="AE688" t="s">
        <v>1795</v>
      </c>
    </row>
    <row r="689" spans="1:31" x14ac:dyDescent="0.2">
      <c r="A689" t="s">
        <v>31</v>
      </c>
      <c r="B689">
        <v>2018</v>
      </c>
      <c r="C689">
        <v>52</v>
      </c>
      <c r="D689" s="1">
        <v>43238</v>
      </c>
      <c r="E689" t="s">
        <v>63</v>
      </c>
      <c r="F689" t="s">
        <v>1731</v>
      </c>
      <c r="G689" t="s">
        <v>65</v>
      </c>
      <c r="H689" t="s">
        <v>53</v>
      </c>
      <c r="I689" t="s">
        <v>53</v>
      </c>
      <c r="J689" t="s">
        <v>37</v>
      </c>
      <c r="K689">
        <v>162</v>
      </c>
      <c r="L689">
        <v>5</v>
      </c>
      <c r="M689">
        <v>128</v>
      </c>
      <c r="N689">
        <v>6</v>
      </c>
      <c r="O689" t="s">
        <v>65</v>
      </c>
      <c r="P689" t="s">
        <v>38</v>
      </c>
      <c r="Q689">
        <v>34</v>
      </c>
      <c r="R689">
        <v>0</v>
      </c>
      <c r="S689" t="s">
        <v>1668</v>
      </c>
      <c r="T689" t="s">
        <v>1279</v>
      </c>
      <c r="U689" t="s">
        <v>312</v>
      </c>
      <c r="V689" t="s">
        <v>642</v>
      </c>
      <c r="W689" t="s">
        <v>158</v>
      </c>
      <c r="X689" t="s">
        <v>605</v>
      </c>
      <c r="Y689" t="s">
        <v>45</v>
      </c>
      <c r="Z689">
        <v>20</v>
      </c>
      <c r="AA689">
        <v>6</v>
      </c>
      <c r="AB689" t="s">
        <v>46</v>
      </c>
      <c r="AC689" t="s">
        <v>47</v>
      </c>
      <c r="AD689" t="s">
        <v>1796</v>
      </c>
      <c r="AE689" t="s">
        <v>1797</v>
      </c>
    </row>
    <row r="690" spans="1:31" x14ac:dyDescent="0.2">
      <c r="A690" t="s">
        <v>31</v>
      </c>
      <c r="B690">
        <v>2018</v>
      </c>
      <c r="C690">
        <v>53</v>
      </c>
      <c r="D690" s="1">
        <v>43239</v>
      </c>
      <c r="E690" t="s">
        <v>95</v>
      </c>
      <c r="F690" t="s">
        <v>96</v>
      </c>
      <c r="G690" t="s">
        <v>66</v>
      </c>
      <c r="H690" t="s">
        <v>35</v>
      </c>
      <c r="I690" t="s">
        <v>66</v>
      </c>
      <c r="J690" t="s">
        <v>54</v>
      </c>
      <c r="K690">
        <v>164</v>
      </c>
      <c r="L690">
        <v>5</v>
      </c>
      <c r="M690">
        <v>134</v>
      </c>
      <c r="N690">
        <v>10</v>
      </c>
      <c r="O690" t="s">
        <v>66</v>
      </c>
      <c r="P690" t="s">
        <v>38</v>
      </c>
      <c r="Q690">
        <v>30</v>
      </c>
      <c r="R690">
        <v>0</v>
      </c>
      <c r="S690" t="s">
        <v>1798</v>
      </c>
      <c r="T690" t="s">
        <v>440</v>
      </c>
      <c r="U690" t="s">
        <v>819</v>
      </c>
      <c r="V690" t="s">
        <v>939</v>
      </c>
      <c r="W690" t="s">
        <v>105</v>
      </c>
      <c r="X690" t="s">
        <v>1733</v>
      </c>
      <c r="Y690" t="s">
        <v>45</v>
      </c>
      <c r="Z690">
        <v>20</v>
      </c>
      <c r="AA690">
        <v>6</v>
      </c>
      <c r="AB690" t="s">
        <v>46</v>
      </c>
      <c r="AC690" t="s">
        <v>47</v>
      </c>
      <c r="AD690" t="s">
        <v>1799</v>
      </c>
      <c r="AE690" t="s">
        <v>1800</v>
      </c>
    </row>
    <row r="691" spans="1:31" x14ac:dyDescent="0.2">
      <c r="A691" t="s">
        <v>31</v>
      </c>
      <c r="B691">
        <v>2018</v>
      </c>
      <c r="C691">
        <v>54</v>
      </c>
      <c r="D691" s="1">
        <v>43239</v>
      </c>
      <c r="E691" t="s">
        <v>101</v>
      </c>
      <c r="F691" t="s">
        <v>1689</v>
      </c>
      <c r="G691" t="s">
        <v>968</v>
      </c>
      <c r="H691" t="s">
        <v>36</v>
      </c>
      <c r="I691" t="s">
        <v>968</v>
      </c>
      <c r="J691" t="s">
        <v>54</v>
      </c>
      <c r="K691">
        <v>172</v>
      </c>
      <c r="L691">
        <v>9</v>
      </c>
      <c r="M691">
        <v>173</v>
      </c>
      <c r="N691">
        <v>5</v>
      </c>
      <c r="O691" t="s">
        <v>36</v>
      </c>
      <c r="P691" t="s">
        <v>38</v>
      </c>
      <c r="Q691">
        <v>0</v>
      </c>
      <c r="R691">
        <v>5</v>
      </c>
      <c r="S691" t="s">
        <v>1164</v>
      </c>
      <c r="T691" t="s">
        <v>1772</v>
      </c>
      <c r="U691" t="s">
        <v>146</v>
      </c>
      <c r="V691" t="s">
        <v>111</v>
      </c>
      <c r="W691" t="s">
        <v>1189</v>
      </c>
      <c r="X691" t="s">
        <v>1728</v>
      </c>
      <c r="Y691" t="s">
        <v>45</v>
      </c>
      <c r="Z691">
        <v>20</v>
      </c>
      <c r="AA691">
        <v>6</v>
      </c>
      <c r="AB691" t="s">
        <v>46</v>
      </c>
      <c r="AC691" t="s">
        <v>47</v>
      </c>
      <c r="AD691" t="s">
        <v>1801</v>
      </c>
      <c r="AE691" t="s">
        <v>1802</v>
      </c>
    </row>
    <row r="692" spans="1:31" x14ac:dyDescent="0.2">
      <c r="A692" t="s">
        <v>31</v>
      </c>
      <c r="B692">
        <v>2018</v>
      </c>
      <c r="C692">
        <v>55</v>
      </c>
      <c r="D692" s="1">
        <v>43240</v>
      </c>
      <c r="E692" t="s">
        <v>63</v>
      </c>
      <c r="F692" t="s">
        <v>1731</v>
      </c>
      <c r="G692" t="s">
        <v>65</v>
      </c>
      <c r="H692" t="s">
        <v>87</v>
      </c>
      <c r="I692" t="s">
        <v>65</v>
      </c>
      <c r="J692" t="s">
        <v>54</v>
      </c>
      <c r="K692">
        <v>174</v>
      </c>
      <c r="L692">
        <v>4</v>
      </c>
      <c r="M692">
        <v>163</v>
      </c>
      <c r="N692">
        <v>10</v>
      </c>
      <c r="O692" t="s">
        <v>65</v>
      </c>
      <c r="P692" t="s">
        <v>38</v>
      </c>
      <c r="Q692">
        <v>11</v>
      </c>
      <c r="R692">
        <v>0</v>
      </c>
      <c r="S692" t="s">
        <v>204</v>
      </c>
      <c r="T692" t="s">
        <v>1279</v>
      </c>
      <c r="U692" t="s">
        <v>312</v>
      </c>
      <c r="V692" t="s">
        <v>158</v>
      </c>
      <c r="W692" t="s">
        <v>642</v>
      </c>
      <c r="X692" t="s">
        <v>605</v>
      </c>
      <c r="Y692" t="s">
        <v>45</v>
      </c>
      <c r="Z692">
        <v>20</v>
      </c>
      <c r="AA692">
        <v>6</v>
      </c>
      <c r="AB692" t="s">
        <v>46</v>
      </c>
      <c r="AC692" t="s">
        <v>47</v>
      </c>
      <c r="AD692" t="s">
        <v>1803</v>
      </c>
      <c r="AE692" t="s">
        <v>1804</v>
      </c>
    </row>
    <row r="693" spans="1:31" x14ac:dyDescent="0.2">
      <c r="A693" t="s">
        <v>31</v>
      </c>
      <c r="B693">
        <v>2018</v>
      </c>
      <c r="C693">
        <v>56</v>
      </c>
      <c r="D693" s="1">
        <v>43240</v>
      </c>
      <c r="E693" t="s">
        <v>807</v>
      </c>
      <c r="F693" t="s">
        <v>1015</v>
      </c>
      <c r="G693" t="s">
        <v>52</v>
      </c>
      <c r="H693" t="s">
        <v>53</v>
      </c>
      <c r="I693" t="s">
        <v>53</v>
      </c>
      <c r="J693" t="s">
        <v>37</v>
      </c>
      <c r="K693">
        <v>153</v>
      </c>
      <c r="L693">
        <v>10</v>
      </c>
      <c r="M693">
        <v>159</v>
      </c>
      <c r="N693">
        <v>5</v>
      </c>
      <c r="O693" t="s">
        <v>53</v>
      </c>
      <c r="P693" t="s">
        <v>38</v>
      </c>
      <c r="Q693">
        <v>0</v>
      </c>
      <c r="R693">
        <v>5</v>
      </c>
      <c r="S693" t="s">
        <v>1805</v>
      </c>
      <c r="T693" t="s">
        <v>40</v>
      </c>
      <c r="U693" t="s">
        <v>989</v>
      </c>
      <c r="V693" t="s">
        <v>1417</v>
      </c>
      <c r="W693" t="s">
        <v>297</v>
      </c>
      <c r="X693" t="s">
        <v>1210</v>
      </c>
      <c r="Y693" t="s">
        <v>45</v>
      </c>
      <c r="Z693">
        <v>20</v>
      </c>
      <c r="AA693">
        <v>6</v>
      </c>
      <c r="AB693" t="s">
        <v>46</v>
      </c>
      <c r="AC693" t="s">
        <v>47</v>
      </c>
      <c r="AD693" t="s">
        <v>1806</v>
      </c>
      <c r="AE693" t="s">
        <v>1807</v>
      </c>
    </row>
    <row r="694" spans="1:31" x14ac:dyDescent="0.2">
      <c r="A694" t="s">
        <v>31</v>
      </c>
      <c r="B694">
        <v>2018</v>
      </c>
      <c r="C694" t="s">
        <v>256</v>
      </c>
      <c r="D694" s="1">
        <v>43242</v>
      </c>
      <c r="E694" t="s">
        <v>85</v>
      </c>
      <c r="F694" t="s">
        <v>86</v>
      </c>
      <c r="G694" t="s">
        <v>968</v>
      </c>
      <c r="H694" t="s">
        <v>53</v>
      </c>
      <c r="I694" t="s">
        <v>53</v>
      </c>
      <c r="J694" t="s">
        <v>37</v>
      </c>
      <c r="K694">
        <v>139</v>
      </c>
      <c r="L694">
        <v>7</v>
      </c>
      <c r="M694">
        <v>140</v>
      </c>
      <c r="N694">
        <v>8</v>
      </c>
      <c r="O694" t="s">
        <v>53</v>
      </c>
      <c r="P694" t="s">
        <v>38</v>
      </c>
      <c r="Q694">
        <v>0</v>
      </c>
      <c r="R694">
        <v>2</v>
      </c>
      <c r="S694" t="s">
        <v>822</v>
      </c>
      <c r="T694" t="s">
        <v>440</v>
      </c>
      <c r="U694" t="s">
        <v>105</v>
      </c>
      <c r="V694" t="s">
        <v>297</v>
      </c>
      <c r="W694" t="s">
        <v>111</v>
      </c>
      <c r="X694" t="s">
        <v>1417</v>
      </c>
      <c r="Y694" t="s">
        <v>45</v>
      </c>
      <c r="Z694">
        <v>20</v>
      </c>
      <c r="AA694">
        <v>6</v>
      </c>
      <c r="AB694" t="s">
        <v>46</v>
      </c>
      <c r="AC694" t="s">
        <v>47</v>
      </c>
      <c r="AD694" t="s">
        <v>1808</v>
      </c>
      <c r="AE694" t="s">
        <v>1809</v>
      </c>
    </row>
    <row r="695" spans="1:31" x14ac:dyDescent="0.2">
      <c r="A695" t="s">
        <v>31</v>
      </c>
      <c r="B695">
        <v>2018</v>
      </c>
      <c r="C695" t="s">
        <v>256</v>
      </c>
      <c r="D695" s="1">
        <v>43243</v>
      </c>
      <c r="E695" t="s">
        <v>75</v>
      </c>
      <c r="F695" t="s">
        <v>76</v>
      </c>
      <c r="G695" t="s">
        <v>36</v>
      </c>
      <c r="H695" t="s">
        <v>66</v>
      </c>
      <c r="I695" t="s">
        <v>66</v>
      </c>
      <c r="J695" t="s">
        <v>37</v>
      </c>
      <c r="K695">
        <v>169</v>
      </c>
      <c r="L695">
        <v>7</v>
      </c>
      <c r="M695">
        <v>144</v>
      </c>
      <c r="N695">
        <v>4</v>
      </c>
      <c r="O695" t="s">
        <v>36</v>
      </c>
      <c r="P695" t="s">
        <v>38</v>
      </c>
      <c r="Q695">
        <v>25</v>
      </c>
      <c r="R695">
        <v>0</v>
      </c>
      <c r="S695" t="s">
        <v>1308</v>
      </c>
      <c r="T695" t="s">
        <v>40</v>
      </c>
      <c r="U695" t="s">
        <v>146</v>
      </c>
      <c r="V695" t="s">
        <v>989</v>
      </c>
      <c r="W695" t="s">
        <v>312</v>
      </c>
      <c r="X695" t="s">
        <v>969</v>
      </c>
      <c r="Y695" t="s">
        <v>45</v>
      </c>
      <c r="Z695">
        <v>20</v>
      </c>
      <c r="AA695">
        <v>6</v>
      </c>
      <c r="AB695" t="s">
        <v>46</v>
      </c>
      <c r="AC695" t="s">
        <v>47</v>
      </c>
      <c r="AD695" t="s">
        <v>1810</v>
      </c>
      <c r="AE695" t="s">
        <v>1811</v>
      </c>
    </row>
    <row r="696" spans="1:31" x14ac:dyDescent="0.2">
      <c r="A696" t="s">
        <v>31</v>
      </c>
      <c r="B696">
        <v>2018</v>
      </c>
      <c r="C696" t="s">
        <v>256</v>
      </c>
      <c r="D696" s="1">
        <v>43245</v>
      </c>
      <c r="E696" t="s">
        <v>75</v>
      </c>
      <c r="F696" t="s">
        <v>76</v>
      </c>
      <c r="G696" t="s">
        <v>968</v>
      </c>
      <c r="H696" t="s">
        <v>36</v>
      </c>
      <c r="I696" t="s">
        <v>36</v>
      </c>
      <c r="J696" t="s">
        <v>37</v>
      </c>
      <c r="K696">
        <v>174</v>
      </c>
      <c r="L696">
        <v>7</v>
      </c>
      <c r="M696">
        <v>160</v>
      </c>
      <c r="N696">
        <v>9</v>
      </c>
      <c r="O696" t="s">
        <v>968</v>
      </c>
      <c r="P696" t="s">
        <v>38</v>
      </c>
      <c r="Q696">
        <v>14</v>
      </c>
      <c r="R696">
        <v>0</v>
      </c>
      <c r="S696" t="s">
        <v>1562</v>
      </c>
      <c r="T696" t="s">
        <v>40</v>
      </c>
      <c r="U696" t="s">
        <v>312</v>
      </c>
      <c r="V696" t="s">
        <v>989</v>
      </c>
      <c r="W696" t="s">
        <v>146</v>
      </c>
      <c r="X696" t="s">
        <v>969</v>
      </c>
      <c r="Y696" t="s">
        <v>45</v>
      </c>
      <c r="Z696">
        <v>20</v>
      </c>
      <c r="AA696">
        <v>6</v>
      </c>
      <c r="AB696" t="s">
        <v>46</v>
      </c>
      <c r="AC696" t="s">
        <v>47</v>
      </c>
      <c r="AD696" t="s">
        <v>1812</v>
      </c>
      <c r="AE696" t="s">
        <v>1813</v>
      </c>
    </row>
    <row r="697" spans="1:31" x14ac:dyDescent="0.2">
      <c r="A697" t="s">
        <v>31</v>
      </c>
      <c r="B697">
        <v>2018</v>
      </c>
      <c r="C697" t="s">
        <v>256</v>
      </c>
      <c r="D697" s="1">
        <v>43247</v>
      </c>
      <c r="E697" t="s">
        <v>85</v>
      </c>
      <c r="F697" t="s">
        <v>86</v>
      </c>
      <c r="G697" t="s">
        <v>968</v>
      </c>
      <c r="H697" t="s">
        <v>53</v>
      </c>
      <c r="I697" t="s">
        <v>53</v>
      </c>
      <c r="J697" t="s">
        <v>37</v>
      </c>
      <c r="K697">
        <v>178</v>
      </c>
      <c r="L697">
        <v>6</v>
      </c>
      <c r="M697">
        <v>181</v>
      </c>
      <c r="N697">
        <v>2</v>
      </c>
      <c r="O697" t="s">
        <v>53</v>
      </c>
      <c r="P697" t="s">
        <v>38</v>
      </c>
      <c r="Q697">
        <v>0</v>
      </c>
      <c r="R697">
        <v>8</v>
      </c>
      <c r="S697" t="s">
        <v>97</v>
      </c>
      <c r="T697" t="s">
        <v>440</v>
      </c>
      <c r="U697" t="s">
        <v>297</v>
      </c>
      <c r="V697" t="s">
        <v>111</v>
      </c>
      <c r="W697" t="s">
        <v>989</v>
      </c>
      <c r="X697" t="s">
        <v>1417</v>
      </c>
      <c r="Y697" t="s">
        <v>45</v>
      </c>
      <c r="Z697">
        <v>20</v>
      </c>
      <c r="AA697">
        <v>6</v>
      </c>
      <c r="AB697" t="s">
        <v>46</v>
      </c>
      <c r="AC697" t="s">
        <v>47</v>
      </c>
      <c r="AD697" t="s">
        <v>1814</v>
      </c>
      <c r="AE697" t="s">
        <v>1815</v>
      </c>
    </row>
    <row r="698" spans="1:31" x14ac:dyDescent="0.2">
      <c r="A698" t="s">
        <v>31</v>
      </c>
      <c r="B698">
        <v>2019</v>
      </c>
      <c r="C698">
        <v>1</v>
      </c>
      <c r="D698" s="1">
        <v>43547</v>
      </c>
      <c r="E698" t="s">
        <v>108</v>
      </c>
      <c r="F698" t="s">
        <v>1692</v>
      </c>
      <c r="G698" t="s">
        <v>35</v>
      </c>
      <c r="H698" t="s">
        <v>53</v>
      </c>
      <c r="I698" t="s">
        <v>53</v>
      </c>
      <c r="J698" t="s">
        <v>37</v>
      </c>
      <c r="K698">
        <v>70</v>
      </c>
      <c r="L698">
        <v>10</v>
      </c>
      <c r="M698">
        <v>71</v>
      </c>
      <c r="N698">
        <v>3</v>
      </c>
      <c r="O698" t="s">
        <v>53</v>
      </c>
      <c r="P698" t="s">
        <v>38</v>
      </c>
      <c r="Q698">
        <v>0</v>
      </c>
      <c r="R698">
        <v>7</v>
      </c>
      <c r="S698" t="s">
        <v>394</v>
      </c>
      <c r="T698" t="s">
        <v>40</v>
      </c>
      <c r="U698" t="s">
        <v>1189</v>
      </c>
      <c r="V698" t="s">
        <v>819</v>
      </c>
      <c r="W698" t="s">
        <v>989</v>
      </c>
      <c r="X698" t="s">
        <v>1728</v>
      </c>
      <c r="Y698" t="s">
        <v>45</v>
      </c>
      <c r="Z698">
        <v>20</v>
      </c>
      <c r="AA698">
        <v>6</v>
      </c>
      <c r="AB698" t="s">
        <v>46</v>
      </c>
      <c r="AC698" t="s">
        <v>47</v>
      </c>
      <c r="AD698" t="s">
        <v>1816</v>
      </c>
      <c r="AE698" t="s">
        <v>1817</v>
      </c>
    </row>
    <row r="699" spans="1:31" x14ac:dyDescent="0.2">
      <c r="A699" t="s">
        <v>31</v>
      </c>
      <c r="B699">
        <v>2019</v>
      </c>
      <c r="C699">
        <v>2</v>
      </c>
      <c r="D699" s="1">
        <v>43548</v>
      </c>
      <c r="E699" t="s">
        <v>75</v>
      </c>
      <c r="F699" t="s">
        <v>76</v>
      </c>
      <c r="G699" t="s">
        <v>968</v>
      </c>
      <c r="H699" t="s">
        <v>36</v>
      </c>
      <c r="I699" t="s">
        <v>36</v>
      </c>
      <c r="J699" t="s">
        <v>37</v>
      </c>
      <c r="K699">
        <v>181</v>
      </c>
      <c r="L699">
        <v>3</v>
      </c>
      <c r="M699">
        <v>183</v>
      </c>
      <c r="N699">
        <v>4</v>
      </c>
      <c r="O699" t="s">
        <v>36</v>
      </c>
      <c r="P699" t="s">
        <v>38</v>
      </c>
      <c r="Q699">
        <v>0</v>
      </c>
      <c r="R699">
        <v>6</v>
      </c>
      <c r="S699" t="s">
        <v>1308</v>
      </c>
      <c r="T699" t="s">
        <v>1553</v>
      </c>
      <c r="U699" t="s">
        <v>146</v>
      </c>
      <c r="V699" t="s">
        <v>1283</v>
      </c>
      <c r="W699" t="s">
        <v>642</v>
      </c>
      <c r="X699" t="s">
        <v>1733</v>
      </c>
      <c r="Y699" t="s">
        <v>45</v>
      </c>
      <c r="Z699">
        <v>20</v>
      </c>
      <c r="AA699">
        <v>6</v>
      </c>
      <c r="AB699" t="s">
        <v>46</v>
      </c>
      <c r="AC699" t="s">
        <v>47</v>
      </c>
      <c r="AD699" t="s">
        <v>1818</v>
      </c>
      <c r="AE699" t="s">
        <v>1819</v>
      </c>
    </row>
    <row r="700" spans="1:31" x14ac:dyDescent="0.2">
      <c r="A700" t="s">
        <v>31</v>
      </c>
      <c r="B700">
        <v>2019</v>
      </c>
      <c r="C700">
        <v>3</v>
      </c>
      <c r="D700" s="1">
        <v>43548</v>
      </c>
      <c r="E700" t="s">
        <v>85</v>
      </c>
      <c r="F700" t="s">
        <v>86</v>
      </c>
      <c r="G700" t="s">
        <v>1820</v>
      </c>
      <c r="H700" t="s">
        <v>87</v>
      </c>
      <c r="I700" t="s">
        <v>87</v>
      </c>
      <c r="J700" t="s">
        <v>37</v>
      </c>
      <c r="K700">
        <v>213</v>
      </c>
      <c r="L700">
        <v>6</v>
      </c>
      <c r="M700">
        <v>176</v>
      </c>
      <c r="N700">
        <v>9</v>
      </c>
      <c r="O700" t="s">
        <v>1820</v>
      </c>
      <c r="P700" t="s">
        <v>38</v>
      </c>
      <c r="Q700">
        <v>37</v>
      </c>
      <c r="R700">
        <v>0</v>
      </c>
      <c r="S700" t="s">
        <v>1482</v>
      </c>
      <c r="T700" t="s">
        <v>1279</v>
      </c>
      <c r="U700" t="s">
        <v>111</v>
      </c>
      <c r="V700" t="s">
        <v>1417</v>
      </c>
      <c r="W700" t="s">
        <v>158</v>
      </c>
      <c r="X700" t="s">
        <v>476</v>
      </c>
      <c r="Y700" t="s">
        <v>45</v>
      </c>
      <c r="Z700">
        <v>20</v>
      </c>
      <c r="AA700">
        <v>6</v>
      </c>
      <c r="AB700" t="s">
        <v>46</v>
      </c>
      <c r="AC700" t="s">
        <v>47</v>
      </c>
      <c r="AD700" t="s">
        <v>1821</v>
      </c>
      <c r="AE700" t="s">
        <v>1822</v>
      </c>
    </row>
    <row r="701" spans="1:31" x14ac:dyDescent="0.2">
      <c r="A701" t="s">
        <v>31</v>
      </c>
      <c r="B701">
        <v>2019</v>
      </c>
      <c r="C701">
        <v>4</v>
      </c>
      <c r="D701" s="1">
        <v>43549</v>
      </c>
      <c r="E701" t="s">
        <v>95</v>
      </c>
      <c r="F701" t="s">
        <v>96</v>
      </c>
      <c r="G701" t="s">
        <v>52</v>
      </c>
      <c r="H701" t="s">
        <v>66</v>
      </c>
      <c r="I701" t="s">
        <v>66</v>
      </c>
      <c r="J701" t="s">
        <v>37</v>
      </c>
      <c r="K701">
        <v>184</v>
      </c>
      <c r="L701">
        <v>4</v>
      </c>
      <c r="M701">
        <v>170</v>
      </c>
      <c r="N701">
        <v>9</v>
      </c>
      <c r="O701" t="s">
        <v>52</v>
      </c>
      <c r="P701" t="s">
        <v>38</v>
      </c>
      <c r="Q701">
        <v>14</v>
      </c>
      <c r="R701">
        <v>0</v>
      </c>
      <c r="S701" t="s">
        <v>292</v>
      </c>
      <c r="T701" t="s">
        <v>1293</v>
      </c>
      <c r="U701" t="s">
        <v>105</v>
      </c>
      <c r="V701" t="s">
        <v>463</v>
      </c>
      <c r="W701" t="s">
        <v>819</v>
      </c>
      <c r="X701" t="s">
        <v>605</v>
      </c>
      <c r="Y701" t="s">
        <v>45</v>
      </c>
      <c r="Z701">
        <v>20</v>
      </c>
      <c r="AA701">
        <v>6</v>
      </c>
      <c r="AB701" t="s">
        <v>46</v>
      </c>
      <c r="AC701" t="s">
        <v>47</v>
      </c>
      <c r="AD701" t="s">
        <v>1823</v>
      </c>
      <c r="AE701" t="s">
        <v>1824</v>
      </c>
    </row>
    <row r="702" spans="1:31" x14ac:dyDescent="0.2">
      <c r="A702" t="s">
        <v>31</v>
      </c>
      <c r="B702">
        <v>2019</v>
      </c>
      <c r="C702">
        <v>5</v>
      </c>
      <c r="D702" s="1">
        <v>43550</v>
      </c>
      <c r="E702" t="s">
        <v>63</v>
      </c>
      <c r="F702" t="s">
        <v>1731</v>
      </c>
      <c r="G702" t="s">
        <v>1820</v>
      </c>
      <c r="H702" t="s">
        <v>53</v>
      </c>
      <c r="I702" t="s">
        <v>1820</v>
      </c>
      <c r="J702" t="s">
        <v>54</v>
      </c>
      <c r="K702">
        <v>147</v>
      </c>
      <c r="L702">
        <v>6</v>
      </c>
      <c r="M702">
        <v>150</v>
      </c>
      <c r="N702">
        <v>4</v>
      </c>
      <c r="O702" t="s">
        <v>53</v>
      </c>
      <c r="P702" t="s">
        <v>38</v>
      </c>
      <c r="Q702">
        <v>0</v>
      </c>
      <c r="R702">
        <v>6</v>
      </c>
      <c r="S702" t="s">
        <v>97</v>
      </c>
      <c r="T702" t="s">
        <v>40</v>
      </c>
      <c r="U702" t="s">
        <v>297</v>
      </c>
      <c r="V702" t="s">
        <v>989</v>
      </c>
      <c r="W702" t="s">
        <v>1189</v>
      </c>
      <c r="X702" t="s">
        <v>1728</v>
      </c>
      <c r="Y702" t="s">
        <v>45</v>
      </c>
      <c r="Z702">
        <v>20</v>
      </c>
      <c r="AA702">
        <v>6</v>
      </c>
      <c r="AB702" t="s">
        <v>46</v>
      </c>
      <c r="AC702" t="s">
        <v>47</v>
      </c>
      <c r="AD702" t="s">
        <v>1825</v>
      </c>
      <c r="AE702" t="s">
        <v>1826</v>
      </c>
    </row>
    <row r="703" spans="1:31" x14ac:dyDescent="0.2">
      <c r="A703" t="s">
        <v>31</v>
      </c>
      <c r="B703">
        <v>2019</v>
      </c>
      <c r="C703">
        <v>6</v>
      </c>
      <c r="D703" s="1">
        <v>43551</v>
      </c>
      <c r="E703" t="s">
        <v>75</v>
      </c>
      <c r="F703" t="s">
        <v>76</v>
      </c>
      <c r="G703" t="s">
        <v>36</v>
      </c>
      <c r="H703" t="s">
        <v>52</v>
      </c>
      <c r="I703" t="s">
        <v>52</v>
      </c>
      <c r="J703" t="s">
        <v>37</v>
      </c>
      <c r="K703">
        <v>218</v>
      </c>
      <c r="L703">
        <v>4</v>
      </c>
      <c r="M703">
        <v>190</v>
      </c>
      <c r="N703">
        <v>4</v>
      </c>
      <c r="O703" t="s">
        <v>36</v>
      </c>
      <c r="P703" t="s">
        <v>38</v>
      </c>
      <c r="Q703">
        <v>28</v>
      </c>
      <c r="R703">
        <v>0</v>
      </c>
      <c r="S703" t="s">
        <v>1308</v>
      </c>
      <c r="T703" t="s">
        <v>1553</v>
      </c>
      <c r="U703" t="s">
        <v>146</v>
      </c>
      <c r="V703" t="s">
        <v>642</v>
      </c>
      <c r="W703" t="s">
        <v>1283</v>
      </c>
      <c r="X703" t="s">
        <v>1733</v>
      </c>
      <c r="Y703" t="s">
        <v>45</v>
      </c>
      <c r="Z703">
        <v>20</v>
      </c>
      <c r="AA703">
        <v>6</v>
      </c>
      <c r="AB703" t="s">
        <v>46</v>
      </c>
      <c r="AC703" t="s">
        <v>47</v>
      </c>
      <c r="AD703" t="s">
        <v>1827</v>
      </c>
      <c r="AE703" t="s">
        <v>1828</v>
      </c>
    </row>
    <row r="704" spans="1:31" x14ac:dyDescent="0.2">
      <c r="A704" t="s">
        <v>31</v>
      </c>
      <c r="B704">
        <v>2019</v>
      </c>
      <c r="C704">
        <v>7</v>
      </c>
      <c r="D704" s="1">
        <v>43552</v>
      </c>
      <c r="E704" t="s">
        <v>1558</v>
      </c>
      <c r="F704" t="s">
        <v>1559</v>
      </c>
      <c r="G704" t="s">
        <v>87</v>
      </c>
      <c r="H704" t="s">
        <v>35</v>
      </c>
      <c r="I704" t="s">
        <v>35</v>
      </c>
      <c r="J704" t="s">
        <v>37</v>
      </c>
      <c r="K704">
        <v>187</v>
      </c>
      <c r="L704">
        <v>8</v>
      </c>
      <c r="M704">
        <v>181</v>
      </c>
      <c r="N704">
        <v>5</v>
      </c>
      <c r="O704" t="s">
        <v>87</v>
      </c>
      <c r="P704" t="s">
        <v>38</v>
      </c>
      <c r="Q704">
        <v>6</v>
      </c>
      <c r="R704">
        <v>0</v>
      </c>
      <c r="S704" t="s">
        <v>1571</v>
      </c>
      <c r="T704" t="s">
        <v>1279</v>
      </c>
      <c r="U704" t="s">
        <v>158</v>
      </c>
      <c r="V704" t="s">
        <v>111</v>
      </c>
      <c r="W704" t="s">
        <v>1417</v>
      </c>
      <c r="X704" t="s">
        <v>476</v>
      </c>
      <c r="Y704" t="s">
        <v>45</v>
      </c>
      <c r="Z704">
        <v>20</v>
      </c>
      <c r="AA704">
        <v>6</v>
      </c>
      <c r="AB704" t="s">
        <v>46</v>
      </c>
      <c r="AC704" t="s">
        <v>47</v>
      </c>
      <c r="AD704" t="s">
        <v>1829</v>
      </c>
      <c r="AE704" t="s">
        <v>1830</v>
      </c>
    </row>
    <row r="705" spans="1:31" x14ac:dyDescent="0.2">
      <c r="A705" t="s">
        <v>31</v>
      </c>
      <c r="B705">
        <v>2019</v>
      </c>
      <c r="C705">
        <v>8</v>
      </c>
      <c r="D705" s="1">
        <v>43553</v>
      </c>
      <c r="E705" t="s">
        <v>101</v>
      </c>
      <c r="F705" t="s">
        <v>1689</v>
      </c>
      <c r="G705" t="s">
        <v>66</v>
      </c>
      <c r="H705" t="s">
        <v>968</v>
      </c>
      <c r="I705" t="s">
        <v>66</v>
      </c>
      <c r="J705" t="s">
        <v>54</v>
      </c>
      <c r="K705">
        <v>198</v>
      </c>
      <c r="L705">
        <v>2</v>
      </c>
      <c r="M705">
        <v>201</v>
      </c>
      <c r="N705">
        <v>5</v>
      </c>
      <c r="O705" t="s">
        <v>968</v>
      </c>
      <c r="P705" t="s">
        <v>38</v>
      </c>
      <c r="Q705">
        <v>0</v>
      </c>
      <c r="R705">
        <v>5</v>
      </c>
      <c r="S705" t="s">
        <v>1562</v>
      </c>
      <c r="T705" t="s">
        <v>1293</v>
      </c>
      <c r="U705" t="s">
        <v>819</v>
      </c>
      <c r="V705" t="s">
        <v>105</v>
      </c>
      <c r="W705" t="s">
        <v>463</v>
      </c>
      <c r="X705" t="s">
        <v>605</v>
      </c>
      <c r="Y705" t="s">
        <v>45</v>
      </c>
      <c r="Z705">
        <v>20</v>
      </c>
      <c r="AA705">
        <v>6</v>
      </c>
      <c r="AB705" t="s">
        <v>46</v>
      </c>
      <c r="AC705" t="s">
        <v>47</v>
      </c>
      <c r="AD705" t="s">
        <v>1831</v>
      </c>
      <c r="AE705" t="s">
        <v>1832</v>
      </c>
    </row>
    <row r="706" spans="1:31" x14ac:dyDescent="0.2">
      <c r="A706" t="s">
        <v>31</v>
      </c>
      <c r="B706">
        <v>2019</v>
      </c>
      <c r="C706">
        <v>9</v>
      </c>
      <c r="D706" s="1">
        <v>43554</v>
      </c>
      <c r="E706" t="s">
        <v>50</v>
      </c>
      <c r="F706" t="s">
        <v>1683</v>
      </c>
      <c r="G706" t="s">
        <v>87</v>
      </c>
      <c r="H706" t="s">
        <v>52</v>
      </c>
      <c r="I706" t="s">
        <v>52</v>
      </c>
      <c r="J706" t="s">
        <v>37</v>
      </c>
      <c r="K706">
        <v>176</v>
      </c>
      <c r="L706">
        <v>7</v>
      </c>
      <c r="M706">
        <v>177</v>
      </c>
      <c r="N706">
        <v>2</v>
      </c>
      <c r="O706" t="s">
        <v>52</v>
      </c>
      <c r="P706" t="s">
        <v>38</v>
      </c>
      <c r="Q706">
        <v>0</v>
      </c>
      <c r="R706">
        <v>8</v>
      </c>
      <c r="S706" t="s">
        <v>1300</v>
      </c>
      <c r="T706" t="s">
        <v>1553</v>
      </c>
      <c r="U706" t="s">
        <v>1283</v>
      </c>
      <c r="V706" t="s">
        <v>642</v>
      </c>
      <c r="W706" t="s">
        <v>146</v>
      </c>
      <c r="X706" t="s">
        <v>1733</v>
      </c>
      <c r="Y706" t="s">
        <v>45</v>
      </c>
      <c r="Z706">
        <v>20</v>
      </c>
      <c r="AA706">
        <v>6</v>
      </c>
      <c r="AB706" t="s">
        <v>46</v>
      </c>
      <c r="AC706" t="s">
        <v>47</v>
      </c>
      <c r="AD706" t="s">
        <v>1833</v>
      </c>
      <c r="AE706" t="s">
        <v>1834</v>
      </c>
    </row>
    <row r="707" spans="1:31" x14ac:dyDescent="0.2">
      <c r="A707" t="s">
        <v>31</v>
      </c>
      <c r="B707">
        <v>2019</v>
      </c>
      <c r="C707">
        <v>10</v>
      </c>
      <c r="D707" s="1">
        <v>43554</v>
      </c>
      <c r="E707" t="s">
        <v>63</v>
      </c>
      <c r="F707" t="s">
        <v>1731</v>
      </c>
      <c r="G707" t="s">
        <v>36</v>
      </c>
      <c r="H707" t="s">
        <v>1820</v>
      </c>
      <c r="I707" t="s">
        <v>1820</v>
      </c>
      <c r="J707" t="s">
        <v>37</v>
      </c>
      <c r="K707">
        <v>192</v>
      </c>
      <c r="L707">
        <v>9</v>
      </c>
      <c r="M707">
        <v>195</v>
      </c>
      <c r="N707">
        <v>7</v>
      </c>
      <c r="O707" t="s">
        <v>304</v>
      </c>
      <c r="P707" t="s">
        <v>305</v>
      </c>
      <c r="Q707">
        <v>0</v>
      </c>
      <c r="R707">
        <v>0</v>
      </c>
      <c r="S707" t="s">
        <v>1835</v>
      </c>
      <c r="T707" t="s">
        <v>40</v>
      </c>
      <c r="U707" t="s">
        <v>1189</v>
      </c>
      <c r="V707" t="s">
        <v>989</v>
      </c>
      <c r="W707" t="s">
        <v>297</v>
      </c>
      <c r="X707" t="s">
        <v>1728</v>
      </c>
      <c r="Y707" t="s">
        <v>45</v>
      </c>
      <c r="Z707">
        <v>20</v>
      </c>
      <c r="AA707">
        <v>6</v>
      </c>
      <c r="AB707" t="s">
        <v>46</v>
      </c>
      <c r="AC707" t="s">
        <v>47</v>
      </c>
      <c r="AD707" t="s">
        <v>1836</v>
      </c>
      <c r="AE707" t="s">
        <v>1837</v>
      </c>
    </row>
    <row r="708" spans="1:31" x14ac:dyDescent="0.2">
      <c r="A708" t="s">
        <v>31</v>
      </c>
      <c r="B708">
        <v>2019</v>
      </c>
      <c r="C708">
        <v>11</v>
      </c>
      <c r="D708" s="1">
        <v>43555</v>
      </c>
      <c r="E708" t="s">
        <v>101</v>
      </c>
      <c r="F708" t="s">
        <v>1689</v>
      </c>
      <c r="G708" t="s">
        <v>968</v>
      </c>
      <c r="H708" t="s">
        <v>35</v>
      </c>
      <c r="I708" t="s">
        <v>35</v>
      </c>
      <c r="J708" t="s">
        <v>37</v>
      </c>
      <c r="K708">
        <v>231</v>
      </c>
      <c r="L708">
        <v>2</v>
      </c>
      <c r="M708">
        <v>113</v>
      </c>
      <c r="N708">
        <v>10</v>
      </c>
      <c r="O708" t="s">
        <v>968</v>
      </c>
      <c r="P708" t="s">
        <v>38</v>
      </c>
      <c r="Q708">
        <v>118</v>
      </c>
      <c r="R708">
        <v>0</v>
      </c>
      <c r="S708" t="s">
        <v>1838</v>
      </c>
      <c r="T708" t="s">
        <v>1293</v>
      </c>
      <c r="U708" t="s">
        <v>463</v>
      </c>
      <c r="V708" t="s">
        <v>111</v>
      </c>
      <c r="W708" t="s">
        <v>105</v>
      </c>
      <c r="X708" t="s">
        <v>605</v>
      </c>
      <c r="Y708" t="s">
        <v>45</v>
      </c>
      <c r="Z708">
        <v>20</v>
      </c>
      <c r="AA708">
        <v>6</v>
      </c>
      <c r="AB708" t="s">
        <v>46</v>
      </c>
      <c r="AC708" t="s">
        <v>47</v>
      </c>
      <c r="AD708" t="s">
        <v>1839</v>
      </c>
      <c r="AE708" t="s">
        <v>1840</v>
      </c>
    </row>
    <row r="709" spans="1:31" x14ac:dyDescent="0.2">
      <c r="A709" t="s">
        <v>31</v>
      </c>
      <c r="B709">
        <v>2019</v>
      </c>
      <c r="C709">
        <v>12</v>
      </c>
      <c r="D709" s="1">
        <v>43555</v>
      </c>
      <c r="E709" t="s">
        <v>108</v>
      </c>
      <c r="F709" t="s">
        <v>1692</v>
      </c>
      <c r="G709" t="s">
        <v>53</v>
      </c>
      <c r="H709" t="s">
        <v>66</v>
      </c>
      <c r="I709" t="s">
        <v>66</v>
      </c>
      <c r="J709" t="s">
        <v>37</v>
      </c>
      <c r="K709">
        <v>175</v>
      </c>
      <c r="L709">
        <v>5</v>
      </c>
      <c r="M709">
        <v>167</v>
      </c>
      <c r="N709">
        <v>8</v>
      </c>
      <c r="O709" t="s">
        <v>53</v>
      </c>
      <c r="P709" t="s">
        <v>38</v>
      </c>
      <c r="Q709">
        <v>8</v>
      </c>
      <c r="R709">
        <v>0</v>
      </c>
      <c r="S709" t="s">
        <v>136</v>
      </c>
      <c r="T709" t="s">
        <v>1279</v>
      </c>
      <c r="U709" t="s">
        <v>158</v>
      </c>
      <c r="V709" t="s">
        <v>1417</v>
      </c>
      <c r="W709" t="s">
        <v>819</v>
      </c>
      <c r="X709" t="s">
        <v>476</v>
      </c>
      <c r="Y709" t="s">
        <v>45</v>
      </c>
      <c r="Z709">
        <v>20</v>
      </c>
      <c r="AA709">
        <v>6</v>
      </c>
      <c r="AB709" t="s">
        <v>46</v>
      </c>
      <c r="AC709" t="s">
        <v>47</v>
      </c>
      <c r="AD709" t="s">
        <v>1841</v>
      </c>
      <c r="AE709" t="s">
        <v>1842</v>
      </c>
    </row>
    <row r="710" spans="1:31" x14ac:dyDescent="0.2">
      <c r="A710" t="s">
        <v>31</v>
      </c>
      <c r="B710">
        <v>2019</v>
      </c>
      <c r="C710">
        <v>13</v>
      </c>
      <c r="D710" s="1">
        <v>43556</v>
      </c>
      <c r="E710" t="s">
        <v>50</v>
      </c>
      <c r="F710" t="s">
        <v>1683</v>
      </c>
      <c r="G710" t="s">
        <v>52</v>
      </c>
      <c r="H710" t="s">
        <v>1820</v>
      </c>
      <c r="I710" t="s">
        <v>1820</v>
      </c>
      <c r="J710" t="s">
        <v>37</v>
      </c>
      <c r="K710">
        <v>166</v>
      </c>
      <c r="L710">
        <v>9</v>
      </c>
      <c r="M710">
        <v>152</v>
      </c>
      <c r="N710">
        <v>10</v>
      </c>
      <c r="O710" t="s">
        <v>52</v>
      </c>
      <c r="P710" t="s">
        <v>38</v>
      </c>
      <c r="Q710">
        <v>14</v>
      </c>
      <c r="R710">
        <v>0</v>
      </c>
      <c r="S710" t="s">
        <v>1843</v>
      </c>
      <c r="T710" t="s">
        <v>1553</v>
      </c>
      <c r="U710" t="s">
        <v>146</v>
      </c>
      <c r="V710" t="s">
        <v>1283</v>
      </c>
      <c r="W710" t="s">
        <v>642</v>
      </c>
      <c r="X710" t="s">
        <v>1733</v>
      </c>
      <c r="Y710" t="s">
        <v>45</v>
      </c>
      <c r="Z710">
        <v>20</v>
      </c>
      <c r="AA710">
        <v>6</v>
      </c>
      <c r="AB710" t="s">
        <v>46</v>
      </c>
      <c r="AC710" t="s">
        <v>47</v>
      </c>
      <c r="AD710" t="s">
        <v>1844</v>
      </c>
      <c r="AE710" t="s">
        <v>1845</v>
      </c>
    </row>
    <row r="711" spans="1:31" x14ac:dyDescent="0.2">
      <c r="A711" t="s">
        <v>31</v>
      </c>
      <c r="B711">
        <v>2019</v>
      </c>
      <c r="C711">
        <v>14</v>
      </c>
      <c r="D711" s="1">
        <v>43557</v>
      </c>
      <c r="E711" t="s">
        <v>95</v>
      </c>
      <c r="F711" t="s">
        <v>96</v>
      </c>
      <c r="G711" t="s">
        <v>35</v>
      </c>
      <c r="H711" t="s">
        <v>66</v>
      </c>
      <c r="I711" t="s">
        <v>66</v>
      </c>
      <c r="J711" t="s">
        <v>37</v>
      </c>
      <c r="K711">
        <v>158</v>
      </c>
      <c r="L711">
        <v>4</v>
      </c>
      <c r="M711">
        <v>164</v>
      </c>
      <c r="N711">
        <v>3</v>
      </c>
      <c r="O711" t="s">
        <v>66</v>
      </c>
      <c r="P711" t="s">
        <v>38</v>
      </c>
      <c r="Q711">
        <v>0</v>
      </c>
      <c r="R711">
        <v>7</v>
      </c>
      <c r="S711" t="s">
        <v>1798</v>
      </c>
      <c r="T711" t="s">
        <v>40</v>
      </c>
      <c r="U711" t="s">
        <v>1189</v>
      </c>
      <c r="V711" t="s">
        <v>297</v>
      </c>
      <c r="W711" t="s">
        <v>989</v>
      </c>
      <c r="X711" t="s">
        <v>1728</v>
      </c>
      <c r="Y711" t="s">
        <v>45</v>
      </c>
      <c r="Z711">
        <v>20</v>
      </c>
      <c r="AA711">
        <v>6</v>
      </c>
      <c r="AB711" t="s">
        <v>46</v>
      </c>
      <c r="AC711" t="s">
        <v>47</v>
      </c>
      <c r="AD711" t="s">
        <v>1846</v>
      </c>
      <c r="AE711" t="s">
        <v>1847</v>
      </c>
    </row>
    <row r="712" spans="1:31" x14ac:dyDescent="0.2">
      <c r="A712" t="s">
        <v>31</v>
      </c>
      <c r="B712">
        <v>2019</v>
      </c>
      <c r="C712">
        <v>15</v>
      </c>
      <c r="D712" s="1">
        <v>43558</v>
      </c>
      <c r="E712" t="s">
        <v>85</v>
      </c>
      <c r="F712" t="s">
        <v>86</v>
      </c>
      <c r="G712" t="s">
        <v>87</v>
      </c>
      <c r="H712" t="s">
        <v>53</v>
      </c>
      <c r="I712" t="s">
        <v>53</v>
      </c>
      <c r="J712" t="s">
        <v>37</v>
      </c>
      <c r="K712">
        <v>170</v>
      </c>
      <c r="L712">
        <v>5</v>
      </c>
      <c r="M712">
        <v>133</v>
      </c>
      <c r="N712">
        <v>8</v>
      </c>
      <c r="O712" t="s">
        <v>87</v>
      </c>
      <c r="P712" t="s">
        <v>38</v>
      </c>
      <c r="Q712">
        <v>37</v>
      </c>
      <c r="R712">
        <v>0</v>
      </c>
      <c r="S712" t="s">
        <v>1369</v>
      </c>
      <c r="T712" t="s">
        <v>1279</v>
      </c>
      <c r="U712" t="s">
        <v>819</v>
      </c>
      <c r="V712" t="s">
        <v>656</v>
      </c>
      <c r="W712" t="s">
        <v>1417</v>
      </c>
      <c r="X712" t="s">
        <v>476</v>
      </c>
      <c r="Y712" t="s">
        <v>45</v>
      </c>
      <c r="Z712">
        <v>20</v>
      </c>
      <c r="AA712">
        <v>6</v>
      </c>
      <c r="AB712" t="s">
        <v>46</v>
      </c>
      <c r="AC712" t="s">
        <v>47</v>
      </c>
      <c r="AD712" t="s">
        <v>1848</v>
      </c>
      <c r="AE712" t="s">
        <v>1849</v>
      </c>
    </row>
    <row r="713" spans="1:31" x14ac:dyDescent="0.2">
      <c r="A713" t="s">
        <v>31</v>
      </c>
      <c r="B713">
        <v>2019</v>
      </c>
      <c r="C713">
        <v>16</v>
      </c>
      <c r="D713" s="1">
        <v>43559</v>
      </c>
      <c r="E713" t="s">
        <v>63</v>
      </c>
      <c r="F713" t="s">
        <v>1731</v>
      </c>
      <c r="G713" t="s">
        <v>1820</v>
      </c>
      <c r="H713" t="s">
        <v>968</v>
      </c>
      <c r="I713" t="s">
        <v>968</v>
      </c>
      <c r="J713" t="s">
        <v>37</v>
      </c>
      <c r="K713">
        <v>129</v>
      </c>
      <c r="L713">
        <v>8</v>
      </c>
      <c r="M713">
        <v>131</v>
      </c>
      <c r="N713">
        <v>5</v>
      </c>
      <c r="O713" t="s">
        <v>968</v>
      </c>
      <c r="P713" t="s">
        <v>38</v>
      </c>
      <c r="Q713">
        <v>0</v>
      </c>
      <c r="R713">
        <v>5</v>
      </c>
      <c r="S713" t="s">
        <v>1838</v>
      </c>
      <c r="T713" t="s">
        <v>1293</v>
      </c>
      <c r="U713" t="s">
        <v>105</v>
      </c>
      <c r="V713" t="s">
        <v>463</v>
      </c>
      <c r="W713" t="s">
        <v>111</v>
      </c>
      <c r="X713" t="s">
        <v>605</v>
      </c>
      <c r="Y713" t="s">
        <v>45</v>
      </c>
      <c r="Z713">
        <v>20</v>
      </c>
      <c r="AA713">
        <v>6</v>
      </c>
      <c r="AB713" t="s">
        <v>46</v>
      </c>
      <c r="AC713" t="s">
        <v>47</v>
      </c>
      <c r="AD713" t="s">
        <v>1850</v>
      </c>
      <c r="AE713" t="s">
        <v>1851</v>
      </c>
    </row>
    <row r="714" spans="1:31" x14ac:dyDescent="0.2">
      <c r="A714" t="s">
        <v>31</v>
      </c>
      <c r="B714">
        <v>2019</v>
      </c>
      <c r="C714">
        <v>17</v>
      </c>
      <c r="D714" s="1">
        <v>43560</v>
      </c>
      <c r="E714" t="s">
        <v>1558</v>
      </c>
      <c r="F714" t="s">
        <v>1559</v>
      </c>
      <c r="G714" t="s">
        <v>35</v>
      </c>
      <c r="H714" t="s">
        <v>36</v>
      </c>
      <c r="I714" t="s">
        <v>36</v>
      </c>
      <c r="J714" t="s">
        <v>37</v>
      </c>
      <c r="K714">
        <v>205</v>
      </c>
      <c r="L714">
        <v>3</v>
      </c>
      <c r="M714">
        <v>206</v>
      </c>
      <c r="N714">
        <v>5</v>
      </c>
      <c r="O714" t="s">
        <v>36</v>
      </c>
      <c r="P714" t="s">
        <v>38</v>
      </c>
      <c r="Q714">
        <v>0</v>
      </c>
      <c r="R714">
        <v>5</v>
      </c>
      <c r="S714" t="s">
        <v>1308</v>
      </c>
      <c r="T714" t="s">
        <v>1553</v>
      </c>
      <c r="U714" t="s">
        <v>146</v>
      </c>
      <c r="V714" t="s">
        <v>1283</v>
      </c>
      <c r="W714" t="s">
        <v>158</v>
      </c>
      <c r="X714" t="s">
        <v>1733</v>
      </c>
      <c r="Y714" t="s">
        <v>45</v>
      </c>
      <c r="Z714">
        <v>20</v>
      </c>
      <c r="AA714">
        <v>6</v>
      </c>
      <c r="AB714" t="s">
        <v>46</v>
      </c>
      <c r="AC714" t="s">
        <v>47</v>
      </c>
      <c r="AD714" t="s">
        <v>1852</v>
      </c>
      <c r="AE714" t="s">
        <v>1853</v>
      </c>
    </row>
    <row r="715" spans="1:31" x14ac:dyDescent="0.2">
      <c r="A715" t="s">
        <v>31</v>
      </c>
      <c r="B715">
        <v>2019</v>
      </c>
      <c r="C715">
        <v>18</v>
      </c>
      <c r="D715" s="1">
        <v>43561</v>
      </c>
      <c r="E715" t="s">
        <v>108</v>
      </c>
      <c r="F715" t="s">
        <v>1692</v>
      </c>
      <c r="G715" t="s">
        <v>53</v>
      </c>
      <c r="H715" t="s">
        <v>52</v>
      </c>
      <c r="I715" t="s">
        <v>53</v>
      </c>
      <c r="J715" t="s">
        <v>54</v>
      </c>
      <c r="K715">
        <v>160</v>
      </c>
      <c r="L715">
        <v>3</v>
      </c>
      <c r="M715">
        <v>138</v>
      </c>
      <c r="N715">
        <v>5</v>
      </c>
      <c r="O715" t="s">
        <v>53</v>
      </c>
      <c r="P715" t="s">
        <v>38</v>
      </c>
      <c r="Q715">
        <v>22</v>
      </c>
      <c r="R715">
        <v>0</v>
      </c>
      <c r="S715" t="s">
        <v>394</v>
      </c>
      <c r="T715" t="s">
        <v>1293</v>
      </c>
      <c r="U715" t="s">
        <v>463</v>
      </c>
      <c r="V715" t="s">
        <v>656</v>
      </c>
      <c r="W715" t="s">
        <v>105</v>
      </c>
      <c r="X715" t="s">
        <v>605</v>
      </c>
      <c r="Y715" t="s">
        <v>45</v>
      </c>
      <c r="Z715">
        <v>20</v>
      </c>
      <c r="AA715">
        <v>6</v>
      </c>
      <c r="AB715" t="s">
        <v>46</v>
      </c>
      <c r="AC715" t="s">
        <v>47</v>
      </c>
      <c r="AD715" t="s">
        <v>1854</v>
      </c>
      <c r="AE715" t="s">
        <v>1855</v>
      </c>
    </row>
    <row r="716" spans="1:31" x14ac:dyDescent="0.2">
      <c r="A716" t="s">
        <v>31</v>
      </c>
      <c r="B716">
        <v>2019</v>
      </c>
      <c r="C716">
        <v>19</v>
      </c>
      <c r="D716" s="1">
        <v>43561</v>
      </c>
      <c r="E716" t="s">
        <v>101</v>
      </c>
      <c r="F716" t="s">
        <v>1689</v>
      </c>
      <c r="G716" t="s">
        <v>87</v>
      </c>
      <c r="H716" t="s">
        <v>968</v>
      </c>
      <c r="I716" t="s">
        <v>968</v>
      </c>
      <c r="J716" t="s">
        <v>37</v>
      </c>
      <c r="K716">
        <v>136</v>
      </c>
      <c r="L716">
        <v>7</v>
      </c>
      <c r="M716">
        <v>96</v>
      </c>
      <c r="N716">
        <v>10</v>
      </c>
      <c r="O716" t="s">
        <v>87</v>
      </c>
      <c r="P716" t="s">
        <v>38</v>
      </c>
      <c r="Q716">
        <v>40</v>
      </c>
      <c r="R716">
        <v>0</v>
      </c>
      <c r="S716" t="s">
        <v>1856</v>
      </c>
      <c r="T716" t="s">
        <v>40</v>
      </c>
      <c r="U716" t="s">
        <v>1189</v>
      </c>
      <c r="V716" t="s">
        <v>989</v>
      </c>
      <c r="W716" t="s">
        <v>297</v>
      </c>
      <c r="X716" t="s">
        <v>1728</v>
      </c>
      <c r="Y716" t="s">
        <v>45</v>
      </c>
      <c r="Z716">
        <v>20</v>
      </c>
      <c r="AA716">
        <v>6</v>
      </c>
      <c r="AB716" t="s">
        <v>46</v>
      </c>
      <c r="AC716" t="s">
        <v>47</v>
      </c>
      <c r="AD716" t="s">
        <v>1857</v>
      </c>
      <c r="AE716" t="s">
        <v>1858</v>
      </c>
    </row>
    <row r="717" spans="1:31" x14ac:dyDescent="0.2">
      <c r="A717" t="s">
        <v>31</v>
      </c>
      <c r="B717">
        <v>2019</v>
      </c>
      <c r="C717">
        <v>20</v>
      </c>
      <c r="D717" s="1">
        <v>43562</v>
      </c>
      <c r="E717" t="s">
        <v>1558</v>
      </c>
      <c r="F717" t="s">
        <v>1559</v>
      </c>
      <c r="G717" t="s">
        <v>35</v>
      </c>
      <c r="H717" t="s">
        <v>1820</v>
      </c>
      <c r="I717" t="s">
        <v>1820</v>
      </c>
      <c r="J717" t="s">
        <v>37</v>
      </c>
      <c r="K717">
        <v>149</v>
      </c>
      <c r="L717">
        <v>8</v>
      </c>
      <c r="M717">
        <v>152</v>
      </c>
      <c r="N717">
        <v>6</v>
      </c>
      <c r="O717" t="s">
        <v>1820</v>
      </c>
      <c r="P717" t="s">
        <v>38</v>
      </c>
      <c r="Q717">
        <v>0</v>
      </c>
      <c r="R717">
        <v>4</v>
      </c>
      <c r="S717" t="s">
        <v>1859</v>
      </c>
      <c r="T717" t="s">
        <v>1279</v>
      </c>
      <c r="U717" t="s">
        <v>111</v>
      </c>
      <c r="V717" t="s">
        <v>1417</v>
      </c>
      <c r="W717" t="s">
        <v>158</v>
      </c>
      <c r="X717" t="s">
        <v>476</v>
      </c>
      <c r="Y717" t="s">
        <v>45</v>
      </c>
      <c r="Z717">
        <v>20</v>
      </c>
      <c r="AA717">
        <v>6</v>
      </c>
      <c r="AB717" t="s">
        <v>46</v>
      </c>
      <c r="AC717" t="s">
        <v>47</v>
      </c>
      <c r="AD717" t="s">
        <v>1860</v>
      </c>
      <c r="AE717" t="s">
        <v>1861</v>
      </c>
    </row>
    <row r="718" spans="1:31" x14ac:dyDescent="0.2">
      <c r="A718" t="s">
        <v>31</v>
      </c>
      <c r="B718">
        <v>2019</v>
      </c>
      <c r="C718">
        <v>21</v>
      </c>
      <c r="D718" s="1">
        <v>43562</v>
      </c>
      <c r="E718" t="s">
        <v>95</v>
      </c>
      <c r="F718" t="s">
        <v>96</v>
      </c>
      <c r="G718" t="s">
        <v>66</v>
      </c>
      <c r="H718" t="s">
        <v>36</v>
      </c>
      <c r="I718" t="s">
        <v>36</v>
      </c>
      <c r="J718" t="s">
        <v>37</v>
      </c>
      <c r="K718">
        <v>139</v>
      </c>
      <c r="L718">
        <v>3</v>
      </c>
      <c r="M718">
        <v>140</v>
      </c>
      <c r="N718">
        <v>2</v>
      </c>
      <c r="O718" t="s">
        <v>36</v>
      </c>
      <c r="P718" t="s">
        <v>38</v>
      </c>
      <c r="Q718">
        <v>0</v>
      </c>
      <c r="R718">
        <v>8</v>
      </c>
      <c r="S718" t="s">
        <v>1862</v>
      </c>
      <c r="T718" t="s">
        <v>1553</v>
      </c>
      <c r="U718" t="s">
        <v>146</v>
      </c>
      <c r="V718" t="s">
        <v>1283</v>
      </c>
      <c r="W718" t="s">
        <v>819</v>
      </c>
      <c r="X718" t="s">
        <v>1733</v>
      </c>
      <c r="Y718" t="s">
        <v>45</v>
      </c>
      <c r="Z718">
        <v>20</v>
      </c>
      <c r="AA718">
        <v>6</v>
      </c>
      <c r="AB718" t="s">
        <v>46</v>
      </c>
      <c r="AC718" t="s">
        <v>47</v>
      </c>
      <c r="AD718" t="s">
        <v>1863</v>
      </c>
      <c r="AE718" t="s">
        <v>1864</v>
      </c>
    </row>
    <row r="719" spans="1:31" x14ac:dyDescent="0.2">
      <c r="A719" t="s">
        <v>31</v>
      </c>
      <c r="B719">
        <v>2019</v>
      </c>
      <c r="C719">
        <v>22</v>
      </c>
      <c r="D719" s="1">
        <v>43563</v>
      </c>
      <c r="E719" t="s">
        <v>50</v>
      </c>
      <c r="F719" t="s">
        <v>1683</v>
      </c>
      <c r="G719" t="s">
        <v>968</v>
      </c>
      <c r="H719" t="s">
        <v>52</v>
      </c>
      <c r="I719" t="s">
        <v>52</v>
      </c>
      <c r="J719" t="s">
        <v>37</v>
      </c>
      <c r="K719">
        <v>150</v>
      </c>
      <c r="L719">
        <v>4</v>
      </c>
      <c r="M719">
        <v>151</v>
      </c>
      <c r="N719">
        <v>4</v>
      </c>
      <c r="O719" t="s">
        <v>52</v>
      </c>
      <c r="P719" t="s">
        <v>38</v>
      </c>
      <c r="Q719">
        <v>0</v>
      </c>
      <c r="R719">
        <v>6</v>
      </c>
      <c r="S719" t="s">
        <v>1684</v>
      </c>
      <c r="T719" t="s">
        <v>40</v>
      </c>
      <c r="U719" t="s">
        <v>1189</v>
      </c>
      <c r="V719" t="s">
        <v>297</v>
      </c>
      <c r="W719" t="s">
        <v>989</v>
      </c>
      <c r="X719" t="s">
        <v>1728</v>
      </c>
      <c r="Y719" t="s">
        <v>45</v>
      </c>
      <c r="Z719">
        <v>20</v>
      </c>
      <c r="AA719">
        <v>6</v>
      </c>
      <c r="AB719" t="s">
        <v>46</v>
      </c>
      <c r="AC719" t="s">
        <v>47</v>
      </c>
      <c r="AD719" t="s">
        <v>1865</v>
      </c>
      <c r="AE719" t="s">
        <v>1866</v>
      </c>
    </row>
    <row r="720" spans="1:31" x14ac:dyDescent="0.2">
      <c r="A720" t="s">
        <v>31</v>
      </c>
      <c r="B720">
        <v>2019</v>
      </c>
      <c r="C720">
        <v>23</v>
      </c>
      <c r="D720" s="1">
        <v>43564</v>
      </c>
      <c r="E720" t="s">
        <v>108</v>
      </c>
      <c r="F720" t="s">
        <v>1692</v>
      </c>
      <c r="G720" t="s">
        <v>36</v>
      </c>
      <c r="H720" t="s">
        <v>53</v>
      </c>
      <c r="I720" t="s">
        <v>53</v>
      </c>
      <c r="J720" t="s">
        <v>37</v>
      </c>
      <c r="K720">
        <v>108</v>
      </c>
      <c r="L720">
        <v>9</v>
      </c>
      <c r="M720">
        <v>111</v>
      </c>
      <c r="N720">
        <v>3</v>
      </c>
      <c r="O720" t="s">
        <v>53</v>
      </c>
      <c r="P720" t="s">
        <v>38</v>
      </c>
      <c r="Q720">
        <v>0</v>
      </c>
      <c r="R720">
        <v>7</v>
      </c>
      <c r="S720" t="s">
        <v>1867</v>
      </c>
      <c r="T720" t="s">
        <v>1772</v>
      </c>
      <c r="U720" t="s">
        <v>105</v>
      </c>
      <c r="V720" t="s">
        <v>656</v>
      </c>
      <c r="W720" t="s">
        <v>1210</v>
      </c>
      <c r="X720" t="s">
        <v>605</v>
      </c>
      <c r="Y720" t="s">
        <v>45</v>
      </c>
      <c r="Z720">
        <v>20</v>
      </c>
      <c r="AA720">
        <v>6</v>
      </c>
      <c r="AB720" t="s">
        <v>46</v>
      </c>
      <c r="AC720" t="s">
        <v>47</v>
      </c>
      <c r="AD720" t="s">
        <v>1868</v>
      </c>
      <c r="AE720" t="s">
        <v>1869</v>
      </c>
    </row>
    <row r="721" spans="1:31" x14ac:dyDescent="0.2">
      <c r="A721" t="s">
        <v>31</v>
      </c>
      <c r="B721">
        <v>2019</v>
      </c>
      <c r="C721">
        <v>24</v>
      </c>
      <c r="D721" s="1">
        <v>43565</v>
      </c>
      <c r="E721" t="s">
        <v>85</v>
      </c>
      <c r="F721" t="s">
        <v>86</v>
      </c>
      <c r="G721" t="s">
        <v>52</v>
      </c>
      <c r="H721" t="s">
        <v>87</v>
      </c>
      <c r="I721" t="s">
        <v>87</v>
      </c>
      <c r="J721" t="s">
        <v>37</v>
      </c>
      <c r="K721">
        <v>197</v>
      </c>
      <c r="L721">
        <v>4</v>
      </c>
      <c r="M721">
        <v>198</v>
      </c>
      <c r="N721">
        <v>7</v>
      </c>
      <c r="O721" t="s">
        <v>87</v>
      </c>
      <c r="P721" t="s">
        <v>38</v>
      </c>
      <c r="Q721">
        <v>0</v>
      </c>
      <c r="R721">
        <v>3</v>
      </c>
      <c r="S721" t="s">
        <v>568</v>
      </c>
      <c r="T721" t="s">
        <v>1279</v>
      </c>
      <c r="U721" t="s">
        <v>111</v>
      </c>
      <c r="V721" t="s">
        <v>1417</v>
      </c>
      <c r="W721" t="s">
        <v>158</v>
      </c>
      <c r="X721" t="s">
        <v>174</v>
      </c>
      <c r="Y721" t="s">
        <v>45</v>
      </c>
      <c r="Z721">
        <v>20</v>
      </c>
      <c r="AA721">
        <v>6</v>
      </c>
      <c r="AB721" t="s">
        <v>46</v>
      </c>
      <c r="AC721" t="s">
        <v>47</v>
      </c>
      <c r="AD721" t="s">
        <v>1870</v>
      </c>
      <c r="AE721" t="s">
        <v>1871</v>
      </c>
    </row>
    <row r="722" spans="1:31" x14ac:dyDescent="0.2">
      <c r="A722" t="s">
        <v>31</v>
      </c>
      <c r="B722">
        <v>2019</v>
      </c>
      <c r="C722">
        <v>25</v>
      </c>
      <c r="D722" s="1">
        <v>43566</v>
      </c>
      <c r="E722" t="s">
        <v>95</v>
      </c>
      <c r="F722" t="s">
        <v>96</v>
      </c>
      <c r="G722" t="s">
        <v>66</v>
      </c>
      <c r="H722" t="s">
        <v>53</v>
      </c>
      <c r="I722" t="s">
        <v>53</v>
      </c>
      <c r="J722" t="s">
        <v>37</v>
      </c>
      <c r="K722">
        <v>151</v>
      </c>
      <c r="L722">
        <v>7</v>
      </c>
      <c r="M722">
        <v>155</v>
      </c>
      <c r="N722">
        <v>6</v>
      </c>
      <c r="O722" t="s">
        <v>53</v>
      </c>
      <c r="P722" t="s">
        <v>38</v>
      </c>
      <c r="Q722">
        <v>0</v>
      </c>
      <c r="R722">
        <v>4</v>
      </c>
      <c r="S722" t="s">
        <v>136</v>
      </c>
      <c r="T722" t="s">
        <v>1772</v>
      </c>
      <c r="U722" t="s">
        <v>819</v>
      </c>
      <c r="V722" t="s">
        <v>1210</v>
      </c>
      <c r="W722" t="s">
        <v>1283</v>
      </c>
      <c r="X722" t="s">
        <v>1733</v>
      </c>
      <c r="Y722" t="s">
        <v>45</v>
      </c>
      <c r="Z722">
        <v>20</v>
      </c>
      <c r="AA722">
        <v>6</v>
      </c>
      <c r="AB722" t="s">
        <v>46</v>
      </c>
      <c r="AC722" t="s">
        <v>47</v>
      </c>
      <c r="AD722" t="s">
        <v>1872</v>
      </c>
      <c r="AE722" t="s">
        <v>1873</v>
      </c>
    </row>
    <row r="723" spans="1:31" x14ac:dyDescent="0.2">
      <c r="A723" t="s">
        <v>31</v>
      </c>
      <c r="B723">
        <v>2019</v>
      </c>
      <c r="C723">
        <v>26</v>
      </c>
      <c r="D723" s="1">
        <v>43567</v>
      </c>
      <c r="E723" t="s">
        <v>75</v>
      </c>
      <c r="F723" t="s">
        <v>76</v>
      </c>
      <c r="G723" t="s">
        <v>36</v>
      </c>
      <c r="H723" t="s">
        <v>1820</v>
      </c>
      <c r="I723" t="s">
        <v>1820</v>
      </c>
      <c r="J723" t="s">
        <v>37</v>
      </c>
      <c r="K723">
        <v>178</v>
      </c>
      <c r="L723">
        <v>7</v>
      </c>
      <c r="M723">
        <v>180</v>
      </c>
      <c r="N723">
        <v>3</v>
      </c>
      <c r="O723" t="s">
        <v>1820</v>
      </c>
      <c r="P723" t="s">
        <v>38</v>
      </c>
      <c r="Q723">
        <v>0</v>
      </c>
      <c r="R723">
        <v>7</v>
      </c>
      <c r="S723" t="s">
        <v>763</v>
      </c>
      <c r="T723" t="s">
        <v>1279</v>
      </c>
      <c r="U723" t="s">
        <v>158</v>
      </c>
      <c r="V723" t="s">
        <v>1417</v>
      </c>
      <c r="W723" t="s">
        <v>656</v>
      </c>
      <c r="X723" t="s">
        <v>476</v>
      </c>
      <c r="Y723" t="s">
        <v>45</v>
      </c>
      <c r="Z723">
        <v>20</v>
      </c>
      <c r="AA723">
        <v>6</v>
      </c>
      <c r="AB723" t="s">
        <v>46</v>
      </c>
      <c r="AC723" t="s">
        <v>47</v>
      </c>
      <c r="AD723" t="s">
        <v>1874</v>
      </c>
      <c r="AE723" t="s">
        <v>1875</v>
      </c>
    </row>
    <row r="724" spans="1:31" x14ac:dyDescent="0.2">
      <c r="A724" t="s">
        <v>31</v>
      </c>
      <c r="B724">
        <v>2019</v>
      </c>
      <c r="C724">
        <v>27</v>
      </c>
      <c r="D724" s="1">
        <v>43568</v>
      </c>
      <c r="E724" t="s">
        <v>85</v>
      </c>
      <c r="F724" t="s">
        <v>86</v>
      </c>
      <c r="G724" t="s">
        <v>87</v>
      </c>
      <c r="H724" t="s">
        <v>66</v>
      </c>
      <c r="I724" t="s">
        <v>66</v>
      </c>
      <c r="J724" t="s">
        <v>37</v>
      </c>
      <c r="K724">
        <v>187</v>
      </c>
      <c r="L724">
        <v>5</v>
      </c>
      <c r="M724">
        <v>188</v>
      </c>
      <c r="N724">
        <v>6</v>
      </c>
      <c r="O724" t="s">
        <v>66</v>
      </c>
      <c r="P724" t="s">
        <v>38</v>
      </c>
      <c r="Q724">
        <v>0</v>
      </c>
      <c r="R724">
        <v>4</v>
      </c>
      <c r="S724" t="s">
        <v>1599</v>
      </c>
      <c r="T724" t="s">
        <v>40</v>
      </c>
      <c r="U724" t="s">
        <v>969</v>
      </c>
      <c r="V724" t="s">
        <v>989</v>
      </c>
      <c r="W724" t="s">
        <v>297</v>
      </c>
      <c r="X724" t="s">
        <v>1547</v>
      </c>
      <c r="Y724" t="s">
        <v>45</v>
      </c>
      <c r="Z724">
        <v>20</v>
      </c>
      <c r="AA724">
        <v>6</v>
      </c>
      <c r="AB724" t="s">
        <v>46</v>
      </c>
      <c r="AC724" t="s">
        <v>47</v>
      </c>
      <c r="AD724" t="s">
        <v>1876</v>
      </c>
      <c r="AE724" t="s">
        <v>1877</v>
      </c>
    </row>
    <row r="725" spans="1:31" x14ac:dyDescent="0.2">
      <c r="A725" t="s">
        <v>31</v>
      </c>
      <c r="B725">
        <v>2019</v>
      </c>
      <c r="C725">
        <v>28</v>
      </c>
      <c r="D725" s="1">
        <v>43568</v>
      </c>
      <c r="E725" t="s">
        <v>50</v>
      </c>
      <c r="F725" t="s">
        <v>1683</v>
      </c>
      <c r="G725" t="s">
        <v>52</v>
      </c>
      <c r="H725" t="s">
        <v>35</v>
      </c>
      <c r="I725" t="s">
        <v>35</v>
      </c>
      <c r="J725" t="s">
        <v>37</v>
      </c>
      <c r="K725">
        <v>173</v>
      </c>
      <c r="L725">
        <v>4</v>
      </c>
      <c r="M725">
        <v>174</v>
      </c>
      <c r="N725">
        <v>2</v>
      </c>
      <c r="O725" t="s">
        <v>35</v>
      </c>
      <c r="P725" t="s">
        <v>38</v>
      </c>
      <c r="Q725">
        <v>0</v>
      </c>
      <c r="R725">
        <v>8</v>
      </c>
      <c r="S725" t="s">
        <v>300</v>
      </c>
      <c r="T725" t="s">
        <v>1772</v>
      </c>
      <c r="U725" t="s">
        <v>111</v>
      </c>
      <c r="V725" t="s">
        <v>1210</v>
      </c>
      <c r="W725" t="s">
        <v>1064</v>
      </c>
      <c r="X725" t="s">
        <v>605</v>
      </c>
      <c r="Y725" t="s">
        <v>45</v>
      </c>
      <c r="Z725">
        <v>20</v>
      </c>
      <c r="AA725">
        <v>6</v>
      </c>
      <c r="AB725" t="s">
        <v>46</v>
      </c>
      <c r="AC725" t="s">
        <v>47</v>
      </c>
      <c r="AD725" t="s">
        <v>1878</v>
      </c>
      <c r="AE725" t="s">
        <v>1879</v>
      </c>
    </row>
    <row r="726" spans="1:31" x14ac:dyDescent="0.2">
      <c r="A726" t="s">
        <v>31</v>
      </c>
      <c r="B726">
        <v>2019</v>
      </c>
      <c r="C726">
        <v>29</v>
      </c>
      <c r="D726" s="1">
        <v>43569</v>
      </c>
      <c r="E726" t="s">
        <v>75</v>
      </c>
      <c r="F726" t="s">
        <v>76</v>
      </c>
      <c r="G726" t="s">
        <v>36</v>
      </c>
      <c r="H726" t="s">
        <v>53</v>
      </c>
      <c r="I726" t="s">
        <v>53</v>
      </c>
      <c r="J726" t="s">
        <v>37</v>
      </c>
      <c r="K726">
        <v>161</v>
      </c>
      <c r="L726">
        <v>8</v>
      </c>
      <c r="M726">
        <v>162</v>
      </c>
      <c r="N726">
        <v>5</v>
      </c>
      <c r="O726" t="s">
        <v>53</v>
      </c>
      <c r="P726" t="s">
        <v>38</v>
      </c>
      <c r="Q726">
        <v>0</v>
      </c>
      <c r="R726">
        <v>5</v>
      </c>
      <c r="S726" t="s">
        <v>1880</v>
      </c>
      <c r="T726" t="s">
        <v>1279</v>
      </c>
      <c r="U726" t="s">
        <v>158</v>
      </c>
      <c r="V726" t="s">
        <v>656</v>
      </c>
      <c r="W726" t="s">
        <v>1417</v>
      </c>
      <c r="X726" t="s">
        <v>476</v>
      </c>
      <c r="Y726" t="s">
        <v>45</v>
      </c>
      <c r="Z726">
        <v>20</v>
      </c>
      <c r="AA726">
        <v>6</v>
      </c>
      <c r="AB726" t="s">
        <v>46</v>
      </c>
      <c r="AC726" t="s">
        <v>47</v>
      </c>
      <c r="AD726" t="s">
        <v>1881</v>
      </c>
      <c r="AE726" t="s">
        <v>1882</v>
      </c>
    </row>
    <row r="727" spans="1:31" x14ac:dyDescent="0.2">
      <c r="A727" t="s">
        <v>31</v>
      </c>
      <c r="B727">
        <v>2019</v>
      </c>
      <c r="C727">
        <v>30</v>
      </c>
      <c r="D727" s="1">
        <v>43569</v>
      </c>
      <c r="E727" t="s">
        <v>101</v>
      </c>
      <c r="F727" t="s">
        <v>1689</v>
      </c>
      <c r="G727" t="s">
        <v>1820</v>
      </c>
      <c r="H727" t="s">
        <v>968</v>
      </c>
      <c r="I727" t="s">
        <v>968</v>
      </c>
      <c r="J727" t="s">
        <v>37</v>
      </c>
      <c r="K727">
        <v>155</v>
      </c>
      <c r="L727">
        <v>7</v>
      </c>
      <c r="M727">
        <v>116</v>
      </c>
      <c r="N727">
        <v>10</v>
      </c>
      <c r="O727" t="s">
        <v>1820</v>
      </c>
      <c r="P727" t="s">
        <v>38</v>
      </c>
      <c r="Q727">
        <v>39</v>
      </c>
      <c r="R727">
        <v>0</v>
      </c>
      <c r="S727" t="s">
        <v>1883</v>
      </c>
      <c r="T727" t="s">
        <v>1553</v>
      </c>
      <c r="U727" t="s">
        <v>146</v>
      </c>
      <c r="V727" t="s">
        <v>819</v>
      </c>
      <c r="W727" t="s">
        <v>1283</v>
      </c>
      <c r="X727" t="s">
        <v>1733</v>
      </c>
      <c r="Y727" t="s">
        <v>45</v>
      </c>
      <c r="Z727">
        <v>20</v>
      </c>
      <c r="AA727">
        <v>6</v>
      </c>
      <c r="AB727" t="s">
        <v>46</v>
      </c>
      <c r="AC727" t="s">
        <v>47</v>
      </c>
      <c r="AD727" t="s">
        <v>1884</v>
      </c>
      <c r="AE727" t="s">
        <v>1885</v>
      </c>
    </row>
    <row r="728" spans="1:31" x14ac:dyDescent="0.2">
      <c r="A728" t="s">
        <v>31</v>
      </c>
      <c r="B728">
        <v>2019</v>
      </c>
      <c r="C728">
        <v>31</v>
      </c>
      <c r="D728" s="1">
        <v>43570</v>
      </c>
      <c r="E728" t="s">
        <v>85</v>
      </c>
      <c r="F728" t="s">
        <v>86</v>
      </c>
      <c r="G728" t="s">
        <v>35</v>
      </c>
      <c r="H728" t="s">
        <v>87</v>
      </c>
      <c r="I728" t="s">
        <v>87</v>
      </c>
      <c r="J728" t="s">
        <v>37</v>
      </c>
      <c r="K728">
        <v>171</v>
      </c>
      <c r="L728">
        <v>7</v>
      </c>
      <c r="M728">
        <v>172</v>
      </c>
      <c r="N728">
        <v>5</v>
      </c>
      <c r="O728" t="s">
        <v>87</v>
      </c>
      <c r="P728" t="s">
        <v>38</v>
      </c>
      <c r="Q728">
        <v>0</v>
      </c>
      <c r="R728">
        <v>5</v>
      </c>
      <c r="S728" t="s">
        <v>515</v>
      </c>
      <c r="T728" t="s">
        <v>40</v>
      </c>
      <c r="U728" t="s">
        <v>297</v>
      </c>
      <c r="V728" t="s">
        <v>989</v>
      </c>
      <c r="W728" t="s">
        <v>969</v>
      </c>
      <c r="X728" t="s">
        <v>1547</v>
      </c>
      <c r="Y728" t="s">
        <v>45</v>
      </c>
      <c r="Z728">
        <v>20</v>
      </c>
      <c r="AA728">
        <v>6</v>
      </c>
      <c r="AB728" t="s">
        <v>46</v>
      </c>
      <c r="AC728" t="s">
        <v>47</v>
      </c>
      <c r="AD728" t="s">
        <v>1886</v>
      </c>
      <c r="AE728" t="s">
        <v>1887</v>
      </c>
    </row>
    <row r="729" spans="1:31" x14ac:dyDescent="0.2">
      <c r="A729" t="s">
        <v>31</v>
      </c>
      <c r="B729">
        <v>2019</v>
      </c>
      <c r="C729">
        <v>32</v>
      </c>
      <c r="D729" s="1">
        <v>43571</v>
      </c>
      <c r="E729" t="s">
        <v>50</v>
      </c>
      <c r="F729" t="s">
        <v>1683</v>
      </c>
      <c r="G729" t="s">
        <v>52</v>
      </c>
      <c r="H729" t="s">
        <v>66</v>
      </c>
      <c r="I729" t="s">
        <v>66</v>
      </c>
      <c r="J729" t="s">
        <v>37</v>
      </c>
      <c r="K729">
        <v>182</v>
      </c>
      <c r="L729">
        <v>6</v>
      </c>
      <c r="M729">
        <v>170</v>
      </c>
      <c r="N729">
        <v>7</v>
      </c>
      <c r="O729" t="s">
        <v>52</v>
      </c>
      <c r="P729" t="s">
        <v>38</v>
      </c>
      <c r="Q729">
        <v>12</v>
      </c>
      <c r="R729">
        <v>0</v>
      </c>
      <c r="S729" t="s">
        <v>571</v>
      </c>
      <c r="T729" t="s">
        <v>440</v>
      </c>
      <c r="U729" t="s">
        <v>146</v>
      </c>
      <c r="V729" t="s">
        <v>642</v>
      </c>
      <c r="W729" t="s">
        <v>111</v>
      </c>
      <c r="X729" t="s">
        <v>174</v>
      </c>
      <c r="Y729" t="s">
        <v>45</v>
      </c>
      <c r="Z729">
        <v>20</v>
      </c>
      <c r="AA729">
        <v>6</v>
      </c>
      <c r="AB729" t="s">
        <v>46</v>
      </c>
      <c r="AC729" t="s">
        <v>47</v>
      </c>
      <c r="AD729" t="s">
        <v>1888</v>
      </c>
      <c r="AE729" t="s">
        <v>1889</v>
      </c>
    </row>
    <row r="730" spans="1:31" x14ac:dyDescent="0.2">
      <c r="A730" t="s">
        <v>31</v>
      </c>
      <c r="B730">
        <v>2019</v>
      </c>
      <c r="C730">
        <v>33</v>
      </c>
      <c r="D730" s="1">
        <v>43572</v>
      </c>
      <c r="E730" t="s">
        <v>101</v>
      </c>
      <c r="F730" t="s">
        <v>1689</v>
      </c>
      <c r="G730" t="s">
        <v>53</v>
      </c>
      <c r="H730" t="s">
        <v>968</v>
      </c>
      <c r="I730" t="s">
        <v>53</v>
      </c>
      <c r="J730" t="s">
        <v>54</v>
      </c>
      <c r="K730">
        <v>132</v>
      </c>
      <c r="L730">
        <v>5</v>
      </c>
      <c r="M730">
        <v>137</v>
      </c>
      <c r="N730">
        <v>4</v>
      </c>
      <c r="O730" t="s">
        <v>968</v>
      </c>
      <c r="P730" t="s">
        <v>38</v>
      </c>
      <c r="Q730">
        <v>0</v>
      </c>
      <c r="R730">
        <v>6</v>
      </c>
      <c r="S730" t="s">
        <v>512</v>
      </c>
      <c r="T730" t="s">
        <v>1772</v>
      </c>
      <c r="U730" t="s">
        <v>1890</v>
      </c>
      <c r="V730" t="s">
        <v>1210</v>
      </c>
      <c r="W730" t="s">
        <v>105</v>
      </c>
      <c r="X730" t="s">
        <v>476</v>
      </c>
      <c r="Y730" t="s">
        <v>45</v>
      </c>
      <c r="Z730">
        <v>20</v>
      </c>
      <c r="AA730">
        <v>6</v>
      </c>
      <c r="AB730" t="s">
        <v>46</v>
      </c>
      <c r="AC730" t="s">
        <v>47</v>
      </c>
      <c r="AD730" t="s">
        <v>1891</v>
      </c>
      <c r="AE730" t="s">
        <v>1892</v>
      </c>
    </row>
    <row r="731" spans="1:31" x14ac:dyDescent="0.2">
      <c r="A731" t="s">
        <v>31</v>
      </c>
      <c r="B731">
        <v>2019</v>
      </c>
      <c r="C731">
        <v>34</v>
      </c>
      <c r="D731" s="1">
        <v>43573</v>
      </c>
      <c r="E731" t="s">
        <v>63</v>
      </c>
      <c r="F731" t="s">
        <v>1731</v>
      </c>
      <c r="G731" t="s">
        <v>87</v>
      </c>
      <c r="H731" t="s">
        <v>1820</v>
      </c>
      <c r="I731" t="s">
        <v>87</v>
      </c>
      <c r="J731" t="s">
        <v>54</v>
      </c>
      <c r="K731">
        <v>168</v>
      </c>
      <c r="L731">
        <v>5</v>
      </c>
      <c r="M731">
        <v>128</v>
      </c>
      <c r="N731">
        <v>9</v>
      </c>
      <c r="O731" t="s">
        <v>87</v>
      </c>
      <c r="P731" t="s">
        <v>38</v>
      </c>
      <c r="Q731">
        <v>40</v>
      </c>
      <c r="R731">
        <v>0</v>
      </c>
      <c r="S731" t="s">
        <v>1369</v>
      </c>
      <c r="T731" t="s">
        <v>40</v>
      </c>
      <c r="U731" t="s">
        <v>819</v>
      </c>
      <c r="V731" t="s">
        <v>1064</v>
      </c>
      <c r="W731" t="s">
        <v>146</v>
      </c>
      <c r="X731" t="s">
        <v>1547</v>
      </c>
      <c r="Y731" t="s">
        <v>45</v>
      </c>
      <c r="Z731">
        <v>20</v>
      </c>
      <c r="AA731">
        <v>6</v>
      </c>
      <c r="AB731" t="s">
        <v>46</v>
      </c>
      <c r="AC731" t="s">
        <v>47</v>
      </c>
      <c r="AD731" t="s">
        <v>1893</v>
      </c>
      <c r="AE731" t="s">
        <v>1894</v>
      </c>
    </row>
    <row r="732" spans="1:31" x14ac:dyDescent="0.2">
      <c r="A732" t="s">
        <v>31</v>
      </c>
      <c r="B732">
        <v>2019</v>
      </c>
      <c r="C732">
        <v>35</v>
      </c>
      <c r="D732" s="1">
        <v>43574</v>
      </c>
      <c r="E732" t="s">
        <v>75</v>
      </c>
      <c r="F732" t="s">
        <v>76</v>
      </c>
      <c r="G732" t="s">
        <v>35</v>
      </c>
      <c r="H732" t="s">
        <v>36</v>
      </c>
      <c r="I732" t="s">
        <v>36</v>
      </c>
      <c r="J732" t="s">
        <v>37</v>
      </c>
      <c r="K732">
        <v>213</v>
      </c>
      <c r="L732">
        <v>4</v>
      </c>
      <c r="M732">
        <v>203</v>
      </c>
      <c r="N732">
        <v>5</v>
      </c>
      <c r="O732" t="s">
        <v>35</v>
      </c>
      <c r="P732" t="s">
        <v>38</v>
      </c>
      <c r="Q732">
        <v>10</v>
      </c>
      <c r="R732">
        <v>0</v>
      </c>
      <c r="S732" t="s">
        <v>678</v>
      </c>
      <c r="T732" t="s">
        <v>440</v>
      </c>
      <c r="U732" t="s">
        <v>1890</v>
      </c>
      <c r="V732" t="s">
        <v>989</v>
      </c>
      <c r="W732" t="s">
        <v>1189</v>
      </c>
      <c r="X732" t="s">
        <v>605</v>
      </c>
      <c r="Y732" t="s">
        <v>45</v>
      </c>
      <c r="Z732">
        <v>20</v>
      </c>
      <c r="AA732">
        <v>6</v>
      </c>
      <c r="AB732" t="s">
        <v>46</v>
      </c>
      <c r="AC732" t="s">
        <v>47</v>
      </c>
      <c r="AD732" t="s">
        <v>1895</v>
      </c>
      <c r="AE732" t="s">
        <v>1896</v>
      </c>
    </row>
    <row r="733" spans="1:31" x14ac:dyDescent="0.2">
      <c r="A733" t="s">
        <v>31</v>
      </c>
      <c r="B733">
        <v>2019</v>
      </c>
      <c r="C733">
        <v>36</v>
      </c>
      <c r="D733" s="1">
        <v>43575</v>
      </c>
      <c r="E733" t="s">
        <v>95</v>
      </c>
      <c r="F733" t="s">
        <v>96</v>
      </c>
      <c r="G733" t="s">
        <v>87</v>
      </c>
      <c r="H733" t="s">
        <v>66</v>
      </c>
      <c r="I733" t="s">
        <v>66</v>
      </c>
      <c r="J733" t="s">
        <v>37</v>
      </c>
      <c r="K733">
        <v>161</v>
      </c>
      <c r="L733">
        <v>5</v>
      </c>
      <c r="M733">
        <v>162</v>
      </c>
      <c r="N733">
        <v>5</v>
      </c>
      <c r="O733" t="s">
        <v>66</v>
      </c>
      <c r="P733" t="s">
        <v>38</v>
      </c>
      <c r="Q733">
        <v>0</v>
      </c>
      <c r="R733">
        <v>5</v>
      </c>
      <c r="S733" t="s">
        <v>789</v>
      </c>
      <c r="T733" t="s">
        <v>1279</v>
      </c>
      <c r="U733" t="s">
        <v>111</v>
      </c>
      <c r="V733" t="s">
        <v>1417</v>
      </c>
      <c r="W733" t="s">
        <v>158</v>
      </c>
      <c r="X733" t="s">
        <v>174</v>
      </c>
      <c r="Y733" t="s">
        <v>45</v>
      </c>
      <c r="Z733">
        <v>20</v>
      </c>
      <c r="AA733">
        <v>6</v>
      </c>
      <c r="AB733" t="s">
        <v>46</v>
      </c>
      <c r="AC733" t="s">
        <v>47</v>
      </c>
      <c r="AD733" t="s">
        <v>1897</v>
      </c>
      <c r="AE733" t="s">
        <v>1898</v>
      </c>
    </row>
    <row r="734" spans="1:31" x14ac:dyDescent="0.2">
      <c r="A734" t="s">
        <v>31</v>
      </c>
      <c r="B734">
        <v>2019</v>
      </c>
      <c r="C734">
        <v>37</v>
      </c>
      <c r="D734" s="1">
        <v>43575</v>
      </c>
      <c r="E734" t="s">
        <v>63</v>
      </c>
      <c r="F734" t="s">
        <v>1731</v>
      </c>
      <c r="G734" t="s">
        <v>52</v>
      </c>
      <c r="H734" t="s">
        <v>1820</v>
      </c>
      <c r="I734" t="s">
        <v>1820</v>
      </c>
      <c r="J734" t="s">
        <v>37</v>
      </c>
      <c r="K734">
        <v>163</v>
      </c>
      <c r="L734">
        <v>7</v>
      </c>
      <c r="M734">
        <v>166</v>
      </c>
      <c r="N734">
        <v>5</v>
      </c>
      <c r="O734" t="s">
        <v>1820</v>
      </c>
      <c r="P734" t="s">
        <v>38</v>
      </c>
      <c r="Q734">
        <v>0</v>
      </c>
      <c r="R734">
        <v>5</v>
      </c>
      <c r="S734" t="s">
        <v>1322</v>
      </c>
      <c r="T734" t="s">
        <v>1772</v>
      </c>
      <c r="U734" t="s">
        <v>105</v>
      </c>
      <c r="V734" t="s">
        <v>1210</v>
      </c>
      <c r="W734" t="s">
        <v>819</v>
      </c>
      <c r="X734" t="s">
        <v>1547</v>
      </c>
      <c r="Y734" t="s">
        <v>45</v>
      </c>
      <c r="Z734">
        <v>20</v>
      </c>
      <c r="AA734">
        <v>6</v>
      </c>
      <c r="AB734" t="s">
        <v>46</v>
      </c>
      <c r="AC734" t="s">
        <v>47</v>
      </c>
      <c r="AD734" t="s">
        <v>1899</v>
      </c>
      <c r="AE734" t="s">
        <v>1900</v>
      </c>
    </row>
    <row r="735" spans="1:31" x14ac:dyDescent="0.2">
      <c r="A735" t="s">
        <v>31</v>
      </c>
      <c r="B735">
        <v>2019</v>
      </c>
      <c r="C735">
        <v>38</v>
      </c>
      <c r="D735" s="1">
        <v>43576</v>
      </c>
      <c r="E735" t="s">
        <v>101</v>
      </c>
      <c r="F735" t="s">
        <v>1689</v>
      </c>
      <c r="G735" t="s">
        <v>36</v>
      </c>
      <c r="H735" t="s">
        <v>968</v>
      </c>
      <c r="I735" t="s">
        <v>968</v>
      </c>
      <c r="J735" t="s">
        <v>37</v>
      </c>
      <c r="K735">
        <v>159</v>
      </c>
      <c r="L735">
        <v>8</v>
      </c>
      <c r="M735">
        <v>161</v>
      </c>
      <c r="N735">
        <v>1</v>
      </c>
      <c r="O735" t="s">
        <v>968</v>
      </c>
      <c r="P735" t="s">
        <v>38</v>
      </c>
      <c r="Q735">
        <v>0</v>
      </c>
      <c r="R735">
        <v>9</v>
      </c>
      <c r="S735" t="s">
        <v>1901</v>
      </c>
      <c r="T735" t="s">
        <v>440</v>
      </c>
      <c r="U735" t="s">
        <v>1064</v>
      </c>
      <c r="V735" t="s">
        <v>989</v>
      </c>
      <c r="W735" t="s">
        <v>1890</v>
      </c>
      <c r="X735" t="s">
        <v>605</v>
      </c>
      <c r="Y735" t="s">
        <v>45</v>
      </c>
      <c r="Z735">
        <v>20</v>
      </c>
      <c r="AA735">
        <v>6</v>
      </c>
      <c r="AB735" t="s">
        <v>46</v>
      </c>
      <c r="AC735" t="s">
        <v>47</v>
      </c>
      <c r="AD735" t="s">
        <v>1902</v>
      </c>
      <c r="AE735" t="s">
        <v>1903</v>
      </c>
    </row>
    <row r="736" spans="1:31" x14ac:dyDescent="0.2">
      <c r="A736" t="s">
        <v>31</v>
      </c>
      <c r="B736">
        <v>2019</v>
      </c>
      <c r="C736">
        <v>39</v>
      </c>
      <c r="D736" s="1">
        <v>43576</v>
      </c>
      <c r="E736" t="s">
        <v>1558</v>
      </c>
      <c r="F736" t="s">
        <v>1559</v>
      </c>
      <c r="G736" t="s">
        <v>35</v>
      </c>
      <c r="H736" t="s">
        <v>53</v>
      </c>
      <c r="I736" t="s">
        <v>53</v>
      </c>
      <c r="J736" t="s">
        <v>37</v>
      </c>
      <c r="K736">
        <v>161</v>
      </c>
      <c r="L736">
        <v>7</v>
      </c>
      <c r="M736">
        <v>160</v>
      </c>
      <c r="N736">
        <v>8</v>
      </c>
      <c r="O736" t="s">
        <v>35</v>
      </c>
      <c r="P736" t="s">
        <v>38</v>
      </c>
      <c r="Q736">
        <v>1</v>
      </c>
      <c r="R736">
        <v>0</v>
      </c>
      <c r="S736" t="s">
        <v>1096</v>
      </c>
      <c r="T736" t="s">
        <v>40</v>
      </c>
      <c r="U736" t="s">
        <v>656</v>
      </c>
      <c r="V736" t="s">
        <v>642</v>
      </c>
      <c r="W736" t="s">
        <v>146</v>
      </c>
      <c r="X736" t="s">
        <v>476</v>
      </c>
      <c r="Y736" t="s">
        <v>45</v>
      </c>
      <c r="Z736">
        <v>20</v>
      </c>
      <c r="AA736">
        <v>6</v>
      </c>
      <c r="AB736" t="s">
        <v>46</v>
      </c>
      <c r="AC736" t="s">
        <v>47</v>
      </c>
      <c r="AD736" t="s">
        <v>1904</v>
      </c>
      <c r="AE736" t="s">
        <v>1905</v>
      </c>
    </row>
    <row r="737" spans="1:31" x14ac:dyDescent="0.2">
      <c r="A737" t="s">
        <v>31</v>
      </c>
      <c r="B737">
        <v>2019</v>
      </c>
      <c r="C737">
        <v>40</v>
      </c>
      <c r="D737" s="1">
        <v>43577</v>
      </c>
      <c r="E737" t="s">
        <v>95</v>
      </c>
      <c r="F737" t="s">
        <v>96</v>
      </c>
      <c r="G737" t="s">
        <v>66</v>
      </c>
      <c r="H737" t="s">
        <v>1820</v>
      </c>
      <c r="I737" t="s">
        <v>1820</v>
      </c>
      <c r="J737" t="s">
        <v>37</v>
      </c>
      <c r="K737">
        <v>191</v>
      </c>
      <c r="L737">
        <v>6</v>
      </c>
      <c r="M737">
        <v>193</v>
      </c>
      <c r="N737">
        <v>4</v>
      </c>
      <c r="O737" t="s">
        <v>1820</v>
      </c>
      <c r="P737" t="s">
        <v>38</v>
      </c>
      <c r="Q737">
        <v>0</v>
      </c>
      <c r="R737">
        <v>6</v>
      </c>
      <c r="S737" t="s">
        <v>1482</v>
      </c>
      <c r="T737" t="s">
        <v>1279</v>
      </c>
      <c r="U737" t="s">
        <v>969</v>
      </c>
      <c r="V737" t="s">
        <v>111</v>
      </c>
      <c r="W737" t="s">
        <v>1417</v>
      </c>
      <c r="X737" t="s">
        <v>605</v>
      </c>
      <c r="Y737" t="s">
        <v>45</v>
      </c>
      <c r="Z737">
        <v>20</v>
      </c>
      <c r="AA737">
        <v>6</v>
      </c>
      <c r="AB737" t="s">
        <v>46</v>
      </c>
      <c r="AC737" t="s">
        <v>47</v>
      </c>
      <c r="AD737" t="s">
        <v>1906</v>
      </c>
      <c r="AE737" t="s">
        <v>1907</v>
      </c>
    </row>
    <row r="738" spans="1:31" x14ac:dyDescent="0.2">
      <c r="A738" t="s">
        <v>31</v>
      </c>
      <c r="B738">
        <v>2019</v>
      </c>
      <c r="C738">
        <v>41</v>
      </c>
      <c r="D738" s="1">
        <v>43578</v>
      </c>
      <c r="E738" t="s">
        <v>108</v>
      </c>
      <c r="F738" t="s">
        <v>1692</v>
      </c>
      <c r="G738" t="s">
        <v>968</v>
      </c>
      <c r="H738" t="s">
        <v>53</v>
      </c>
      <c r="I738" t="s">
        <v>53</v>
      </c>
      <c r="J738" t="s">
        <v>37</v>
      </c>
      <c r="K738">
        <v>175</v>
      </c>
      <c r="L738">
        <v>3</v>
      </c>
      <c r="M738">
        <v>176</v>
      </c>
      <c r="N738">
        <v>4</v>
      </c>
      <c r="O738" t="s">
        <v>53</v>
      </c>
      <c r="P738" t="s">
        <v>38</v>
      </c>
      <c r="Q738">
        <v>0</v>
      </c>
      <c r="R738">
        <v>6</v>
      </c>
      <c r="S738" t="s">
        <v>97</v>
      </c>
      <c r="T738" t="s">
        <v>1553</v>
      </c>
      <c r="U738" t="s">
        <v>146</v>
      </c>
      <c r="V738" t="s">
        <v>1064</v>
      </c>
      <c r="W738" t="s">
        <v>642</v>
      </c>
      <c r="X738" t="s">
        <v>1547</v>
      </c>
      <c r="Y738" t="s">
        <v>45</v>
      </c>
      <c r="Z738">
        <v>20</v>
      </c>
      <c r="AA738">
        <v>6</v>
      </c>
      <c r="AB738" t="s">
        <v>46</v>
      </c>
      <c r="AC738" t="s">
        <v>47</v>
      </c>
      <c r="AD738" t="s">
        <v>1908</v>
      </c>
      <c r="AE738" t="s">
        <v>1909</v>
      </c>
    </row>
    <row r="739" spans="1:31" x14ac:dyDescent="0.2">
      <c r="A739" t="s">
        <v>31</v>
      </c>
      <c r="B739">
        <v>2019</v>
      </c>
      <c r="C739">
        <v>42</v>
      </c>
      <c r="D739" s="1">
        <v>43579</v>
      </c>
      <c r="E739" t="s">
        <v>1558</v>
      </c>
      <c r="F739" t="s">
        <v>1559</v>
      </c>
      <c r="G739" t="s">
        <v>35</v>
      </c>
      <c r="H739" t="s">
        <v>52</v>
      </c>
      <c r="I739" t="s">
        <v>52</v>
      </c>
      <c r="J739" t="s">
        <v>37</v>
      </c>
      <c r="K739">
        <v>202</v>
      </c>
      <c r="L739">
        <v>4</v>
      </c>
      <c r="M739">
        <v>185</v>
      </c>
      <c r="N739">
        <v>7</v>
      </c>
      <c r="O739" t="s">
        <v>35</v>
      </c>
      <c r="P739" t="s">
        <v>38</v>
      </c>
      <c r="Q739">
        <v>17</v>
      </c>
      <c r="R739">
        <v>0</v>
      </c>
      <c r="S739" t="s">
        <v>300</v>
      </c>
      <c r="T739" t="s">
        <v>40</v>
      </c>
      <c r="U739" t="s">
        <v>819</v>
      </c>
      <c r="V739" t="s">
        <v>105</v>
      </c>
      <c r="W739" t="s">
        <v>656</v>
      </c>
      <c r="X739" t="s">
        <v>174</v>
      </c>
      <c r="Y739" t="s">
        <v>45</v>
      </c>
      <c r="Z739">
        <v>20</v>
      </c>
      <c r="AA739">
        <v>6</v>
      </c>
      <c r="AB739" t="s">
        <v>46</v>
      </c>
      <c r="AC739" t="s">
        <v>47</v>
      </c>
      <c r="AD739" t="s">
        <v>1910</v>
      </c>
      <c r="AE739" t="s">
        <v>1911</v>
      </c>
    </row>
    <row r="740" spans="1:31" x14ac:dyDescent="0.2">
      <c r="A740" t="s">
        <v>31</v>
      </c>
      <c r="B740">
        <v>2019</v>
      </c>
      <c r="C740">
        <v>43</v>
      </c>
      <c r="D740" s="1">
        <v>43580</v>
      </c>
      <c r="E740" t="s">
        <v>75</v>
      </c>
      <c r="F740" t="s">
        <v>76</v>
      </c>
      <c r="G740" t="s">
        <v>36</v>
      </c>
      <c r="H740" t="s">
        <v>66</v>
      </c>
      <c r="I740" t="s">
        <v>66</v>
      </c>
      <c r="J740" t="s">
        <v>37</v>
      </c>
      <c r="K740">
        <v>175</v>
      </c>
      <c r="L740">
        <v>6</v>
      </c>
      <c r="M740">
        <v>177</v>
      </c>
      <c r="N740">
        <v>7</v>
      </c>
      <c r="O740" t="s">
        <v>66</v>
      </c>
      <c r="P740" t="s">
        <v>38</v>
      </c>
      <c r="Q740">
        <v>0</v>
      </c>
      <c r="R740">
        <v>3</v>
      </c>
      <c r="S740" t="s">
        <v>1332</v>
      </c>
      <c r="T740" t="s">
        <v>440</v>
      </c>
      <c r="U740" t="s">
        <v>1189</v>
      </c>
      <c r="V740" t="s">
        <v>1890</v>
      </c>
      <c r="W740" t="s">
        <v>989</v>
      </c>
      <c r="X740" t="s">
        <v>1728</v>
      </c>
      <c r="Y740" t="s">
        <v>45</v>
      </c>
      <c r="Z740">
        <v>20</v>
      </c>
      <c r="AA740">
        <v>6</v>
      </c>
      <c r="AB740" t="s">
        <v>46</v>
      </c>
      <c r="AC740" t="s">
        <v>47</v>
      </c>
      <c r="AD740" t="s">
        <v>1912</v>
      </c>
      <c r="AE740" t="s">
        <v>1913</v>
      </c>
    </row>
    <row r="741" spans="1:31" x14ac:dyDescent="0.2">
      <c r="A741" t="s">
        <v>31</v>
      </c>
      <c r="B741">
        <v>2019</v>
      </c>
      <c r="C741">
        <v>44</v>
      </c>
      <c r="D741" s="1">
        <v>43581</v>
      </c>
      <c r="E741" t="s">
        <v>108</v>
      </c>
      <c r="F741" t="s">
        <v>1692</v>
      </c>
      <c r="G741" t="s">
        <v>87</v>
      </c>
      <c r="H741" t="s">
        <v>53</v>
      </c>
      <c r="I741" t="s">
        <v>53</v>
      </c>
      <c r="J741" t="s">
        <v>37</v>
      </c>
      <c r="K741">
        <v>155</v>
      </c>
      <c r="L741">
        <v>4</v>
      </c>
      <c r="M741">
        <v>109</v>
      </c>
      <c r="N741">
        <v>10</v>
      </c>
      <c r="O741" t="s">
        <v>87</v>
      </c>
      <c r="P741" t="s">
        <v>38</v>
      </c>
      <c r="Q741">
        <v>46</v>
      </c>
      <c r="R741">
        <v>0</v>
      </c>
      <c r="S741" t="s">
        <v>369</v>
      </c>
      <c r="T741" t="s">
        <v>1553</v>
      </c>
      <c r="U741" t="s">
        <v>146</v>
      </c>
      <c r="V741" t="s">
        <v>1064</v>
      </c>
      <c r="W741" t="s">
        <v>642</v>
      </c>
      <c r="X741" t="s">
        <v>1547</v>
      </c>
      <c r="Y741" t="s">
        <v>45</v>
      </c>
      <c r="Z741">
        <v>20</v>
      </c>
      <c r="AA741">
        <v>6</v>
      </c>
      <c r="AB741" t="s">
        <v>46</v>
      </c>
      <c r="AC741" t="s">
        <v>47</v>
      </c>
      <c r="AD741" t="s">
        <v>1914</v>
      </c>
      <c r="AE741" t="s">
        <v>1915</v>
      </c>
    </row>
    <row r="742" spans="1:31" x14ac:dyDescent="0.2">
      <c r="A742" t="s">
        <v>31</v>
      </c>
      <c r="B742">
        <v>2019</v>
      </c>
      <c r="C742">
        <v>45</v>
      </c>
      <c r="D742" s="1">
        <v>43582</v>
      </c>
      <c r="E742" t="s">
        <v>95</v>
      </c>
      <c r="F742" t="s">
        <v>96</v>
      </c>
      <c r="G742" t="s">
        <v>968</v>
      </c>
      <c r="H742" t="s">
        <v>66</v>
      </c>
      <c r="I742" t="s">
        <v>66</v>
      </c>
      <c r="J742" t="s">
        <v>37</v>
      </c>
      <c r="K742">
        <v>160</v>
      </c>
      <c r="L742">
        <v>8</v>
      </c>
      <c r="M742">
        <v>161</v>
      </c>
      <c r="N742">
        <v>3</v>
      </c>
      <c r="O742" t="s">
        <v>66</v>
      </c>
      <c r="P742" t="s">
        <v>38</v>
      </c>
      <c r="Q742">
        <v>0</v>
      </c>
      <c r="R742">
        <v>7</v>
      </c>
      <c r="S742" t="s">
        <v>585</v>
      </c>
      <c r="T742" t="s">
        <v>1279</v>
      </c>
      <c r="U742" t="s">
        <v>969</v>
      </c>
      <c r="V742" t="s">
        <v>1417</v>
      </c>
      <c r="W742" t="s">
        <v>111</v>
      </c>
      <c r="X742" t="s">
        <v>174</v>
      </c>
      <c r="Y742" t="s">
        <v>45</v>
      </c>
      <c r="Z742">
        <v>20</v>
      </c>
      <c r="AA742">
        <v>6</v>
      </c>
      <c r="AB742" t="s">
        <v>46</v>
      </c>
      <c r="AC742" t="s">
        <v>47</v>
      </c>
      <c r="AD742" t="s">
        <v>1916</v>
      </c>
      <c r="AE742" t="s">
        <v>1917</v>
      </c>
    </row>
    <row r="743" spans="1:31" x14ac:dyDescent="0.2">
      <c r="A743" t="s">
        <v>31</v>
      </c>
      <c r="B743">
        <v>2019</v>
      </c>
      <c r="C743">
        <v>46</v>
      </c>
      <c r="D743" s="1">
        <v>43583</v>
      </c>
      <c r="E743" t="s">
        <v>63</v>
      </c>
      <c r="F743" t="s">
        <v>1731</v>
      </c>
      <c r="G743" t="s">
        <v>1820</v>
      </c>
      <c r="H743" t="s">
        <v>35</v>
      </c>
      <c r="I743" t="s">
        <v>1820</v>
      </c>
      <c r="J743" t="s">
        <v>54</v>
      </c>
      <c r="K743">
        <v>187</v>
      </c>
      <c r="L743">
        <v>5</v>
      </c>
      <c r="M743">
        <v>171</v>
      </c>
      <c r="N743">
        <v>7</v>
      </c>
      <c r="O743" t="s">
        <v>1820</v>
      </c>
      <c r="P743" t="s">
        <v>38</v>
      </c>
      <c r="Q743">
        <v>16</v>
      </c>
      <c r="R743">
        <v>0</v>
      </c>
      <c r="S743" t="s">
        <v>763</v>
      </c>
      <c r="T743" t="s">
        <v>40</v>
      </c>
      <c r="U743" t="s">
        <v>819</v>
      </c>
      <c r="V743" t="s">
        <v>463</v>
      </c>
      <c r="W743" t="s">
        <v>105</v>
      </c>
      <c r="X743" t="s">
        <v>1547</v>
      </c>
      <c r="Y743" t="s">
        <v>45</v>
      </c>
      <c r="Z743">
        <v>20</v>
      </c>
      <c r="AA743">
        <v>6</v>
      </c>
      <c r="AB743" t="s">
        <v>46</v>
      </c>
      <c r="AC743" t="s">
        <v>47</v>
      </c>
      <c r="AD743" t="s">
        <v>1918</v>
      </c>
      <c r="AE743" t="s">
        <v>1919</v>
      </c>
    </row>
    <row r="744" spans="1:31" x14ac:dyDescent="0.2">
      <c r="A744" t="s">
        <v>31</v>
      </c>
      <c r="B744">
        <v>2019</v>
      </c>
      <c r="C744">
        <v>47</v>
      </c>
      <c r="D744" s="1">
        <v>43583</v>
      </c>
      <c r="E744" t="s">
        <v>75</v>
      </c>
      <c r="F744" t="s">
        <v>76</v>
      </c>
      <c r="G744" t="s">
        <v>36</v>
      </c>
      <c r="H744" t="s">
        <v>87</v>
      </c>
      <c r="I744" t="s">
        <v>87</v>
      </c>
      <c r="J744" t="s">
        <v>37</v>
      </c>
      <c r="K744">
        <v>232</v>
      </c>
      <c r="L744">
        <v>2</v>
      </c>
      <c r="M744">
        <v>198</v>
      </c>
      <c r="N744">
        <v>7</v>
      </c>
      <c r="O744" t="s">
        <v>36</v>
      </c>
      <c r="P744" t="s">
        <v>38</v>
      </c>
      <c r="Q744">
        <v>34</v>
      </c>
      <c r="R744">
        <v>0</v>
      </c>
      <c r="S744" t="s">
        <v>1308</v>
      </c>
      <c r="T744" t="s">
        <v>440</v>
      </c>
      <c r="U744" t="s">
        <v>1890</v>
      </c>
      <c r="V744" t="s">
        <v>989</v>
      </c>
      <c r="W744" t="s">
        <v>1189</v>
      </c>
      <c r="X744" t="s">
        <v>1728</v>
      </c>
      <c r="Y744" t="s">
        <v>45</v>
      </c>
      <c r="Z744">
        <v>20</v>
      </c>
      <c r="AA744">
        <v>6</v>
      </c>
      <c r="AB744" t="s">
        <v>46</v>
      </c>
      <c r="AC744" t="s">
        <v>47</v>
      </c>
      <c r="AD744" t="s">
        <v>1920</v>
      </c>
      <c r="AE744" t="s">
        <v>1921</v>
      </c>
    </row>
    <row r="745" spans="1:31" x14ac:dyDescent="0.2">
      <c r="A745" t="s">
        <v>31</v>
      </c>
      <c r="B745">
        <v>2019</v>
      </c>
      <c r="C745">
        <v>48</v>
      </c>
      <c r="D745" s="1">
        <v>43584</v>
      </c>
      <c r="E745" t="s">
        <v>101</v>
      </c>
      <c r="F745" t="s">
        <v>1689</v>
      </c>
      <c r="G745" t="s">
        <v>968</v>
      </c>
      <c r="H745" t="s">
        <v>52</v>
      </c>
      <c r="I745" t="s">
        <v>52</v>
      </c>
      <c r="J745" t="s">
        <v>37</v>
      </c>
      <c r="K745">
        <v>212</v>
      </c>
      <c r="L745">
        <v>6</v>
      </c>
      <c r="M745">
        <v>167</v>
      </c>
      <c r="N745">
        <v>8</v>
      </c>
      <c r="O745" t="s">
        <v>968</v>
      </c>
      <c r="P745" t="s">
        <v>38</v>
      </c>
      <c r="Q745">
        <v>45</v>
      </c>
      <c r="R745">
        <v>0</v>
      </c>
      <c r="S745" t="s">
        <v>512</v>
      </c>
      <c r="T745" t="s">
        <v>1279</v>
      </c>
      <c r="U745" t="s">
        <v>158</v>
      </c>
      <c r="V745" t="s">
        <v>111</v>
      </c>
      <c r="W745" t="s">
        <v>969</v>
      </c>
      <c r="X745" t="s">
        <v>174</v>
      </c>
      <c r="Y745" t="s">
        <v>45</v>
      </c>
      <c r="Z745">
        <v>20</v>
      </c>
      <c r="AA745">
        <v>6</v>
      </c>
      <c r="AB745" t="s">
        <v>46</v>
      </c>
      <c r="AC745" t="s">
        <v>47</v>
      </c>
      <c r="AD745" t="s">
        <v>1922</v>
      </c>
      <c r="AE745" t="s">
        <v>1923</v>
      </c>
    </row>
    <row r="746" spans="1:31" x14ac:dyDescent="0.2">
      <c r="A746" t="s">
        <v>31</v>
      </c>
      <c r="B746">
        <v>2019</v>
      </c>
      <c r="C746">
        <v>49</v>
      </c>
      <c r="D746" s="1">
        <v>43585</v>
      </c>
      <c r="E746" t="s">
        <v>1558</v>
      </c>
      <c r="F746" t="s">
        <v>1559</v>
      </c>
      <c r="G746" t="s">
        <v>35</v>
      </c>
      <c r="H746" t="s">
        <v>66</v>
      </c>
      <c r="I746" t="s">
        <v>66</v>
      </c>
      <c r="J746" t="s">
        <v>37</v>
      </c>
      <c r="K746">
        <v>62</v>
      </c>
      <c r="L746">
        <v>7</v>
      </c>
      <c r="M746">
        <v>41</v>
      </c>
      <c r="N746">
        <v>1</v>
      </c>
      <c r="O746" t="s">
        <v>304</v>
      </c>
      <c r="P746" t="s">
        <v>766</v>
      </c>
      <c r="Q746">
        <v>0</v>
      </c>
      <c r="R746">
        <v>0</v>
      </c>
      <c r="S746" t="s">
        <v>304</v>
      </c>
      <c r="T746" t="s">
        <v>1553</v>
      </c>
      <c r="U746" t="s">
        <v>1064</v>
      </c>
      <c r="V746" t="s">
        <v>1210</v>
      </c>
      <c r="W746" t="s">
        <v>146</v>
      </c>
      <c r="X746" t="s">
        <v>1733</v>
      </c>
      <c r="Y746" t="s">
        <v>45</v>
      </c>
      <c r="Z746">
        <v>20</v>
      </c>
      <c r="AA746">
        <v>6</v>
      </c>
      <c r="AB746" t="s">
        <v>46</v>
      </c>
      <c r="AC746" t="s">
        <v>47</v>
      </c>
      <c r="AD746" t="s">
        <v>1924</v>
      </c>
      <c r="AE746" t="s">
        <v>1925</v>
      </c>
    </row>
    <row r="747" spans="1:31" x14ac:dyDescent="0.2">
      <c r="A747" t="s">
        <v>31</v>
      </c>
      <c r="B747">
        <v>2019</v>
      </c>
      <c r="C747">
        <v>50</v>
      </c>
      <c r="D747" s="1">
        <v>43586</v>
      </c>
      <c r="E747" t="s">
        <v>108</v>
      </c>
      <c r="F747" t="s">
        <v>1692</v>
      </c>
      <c r="G747" t="s">
        <v>53</v>
      </c>
      <c r="H747" t="s">
        <v>1820</v>
      </c>
      <c r="I747" t="s">
        <v>1820</v>
      </c>
      <c r="J747" t="s">
        <v>37</v>
      </c>
      <c r="K747">
        <v>179</v>
      </c>
      <c r="L747">
        <v>4</v>
      </c>
      <c r="M747">
        <v>99</v>
      </c>
      <c r="N747">
        <v>10</v>
      </c>
      <c r="O747" t="s">
        <v>53</v>
      </c>
      <c r="P747" t="s">
        <v>38</v>
      </c>
      <c r="Q747">
        <v>80</v>
      </c>
      <c r="R747">
        <v>0</v>
      </c>
      <c r="S747" t="s">
        <v>136</v>
      </c>
      <c r="T747" t="s">
        <v>440</v>
      </c>
      <c r="U747" t="s">
        <v>1189</v>
      </c>
      <c r="V747" t="s">
        <v>989</v>
      </c>
      <c r="W747" t="s">
        <v>1890</v>
      </c>
      <c r="X747" t="s">
        <v>1728</v>
      </c>
      <c r="Y747" t="s">
        <v>45</v>
      </c>
      <c r="Z747">
        <v>20</v>
      </c>
      <c r="AA747">
        <v>6</v>
      </c>
      <c r="AB747" t="s">
        <v>46</v>
      </c>
      <c r="AC747" t="s">
        <v>47</v>
      </c>
      <c r="AD747" t="s">
        <v>1926</v>
      </c>
      <c r="AE747" t="s">
        <v>1927</v>
      </c>
    </row>
    <row r="748" spans="1:31" x14ac:dyDescent="0.2">
      <c r="A748" t="s">
        <v>31</v>
      </c>
      <c r="B748">
        <v>2019</v>
      </c>
      <c r="C748">
        <v>51</v>
      </c>
      <c r="D748" s="1">
        <v>43587</v>
      </c>
      <c r="E748" t="s">
        <v>85</v>
      </c>
      <c r="F748" t="s">
        <v>86</v>
      </c>
      <c r="G748" t="s">
        <v>87</v>
      </c>
      <c r="H748" t="s">
        <v>968</v>
      </c>
      <c r="I748" t="s">
        <v>87</v>
      </c>
      <c r="J748" t="s">
        <v>54</v>
      </c>
      <c r="K748">
        <v>171</v>
      </c>
      <c r="L748">
        <v>5</v>
      </c>
      <c r="M748">
        <v>170</v>
      </c>
      <c r="N748">
        <v>8</v>
      </c>
      <c r="O748" t="s">
        <v>304</v>
      </c>
      <c r="P748" t="s">
        <v>305</v>
      </c>
      <c r="Q748">
        <v>0</v>
      </c>
      <c r="R748">
        <v>0</v>
      </c>
      <c r="S748" t="s">
        <v>1571</v>
      </c>
      <c r="T748" t="s">
        <v>1279</v>
      </c>
      <c r="U748" t="s">
        <v>158</v>
      </c>
      <c r="V748" t="s">
        <v>111</v>
      </c>
      <c r="W748" t="s">
        <v>969</v>
      </c>
      <c r="X748" t="s">
        <v>174</v>
      </c>
      <c r="Y748" t="s">
        <v>45</v>
      </c>
      <c r="Z748">
        <v>20</v>
      </c>
      <c r="AA748">
        <v>6</v>
      </c>
      <c r="AB748" t="s">
        <v>46</v>
      </c>
      <c r="AC748" t="s">
        <v>47</v>
      </c>
      <c r="AD748" t="s">
        <v>1928</v>
      </c>
      <c r="AE748" t="s">
        <v>1929</v>
      </c>
    </row>
    <row r="749" spans="1:31" x14ac:dyDescent="0.2">
      <c r="A749" t="s">
        <v>31</v>
      </c>
      <c r="B749">
        <v>2019</v>
      </c>
      <c r="C749">
        <v>52</v>
      </c>
      <c r="D749" s="1">
        <v>43588</v>
      </c>
      <c r="E749" t="s">
        <v>50</v>
      </c>
      <c r="F749" t="s">
        <v>1683</v>
      </c>
      <c r="G749" t="s">
        <v>52</v>
      </c>
      <c r="H749" t="s">
        <v>36</v>
      </c>
      <c r="I749" t="s">
        <v>36</v>
      </c>
      <c r="J749" t="s">
        <v>37</v>
      </c>
      <c r="K749">
        <v>183</v>
      </c>
      <c r="L749">
        <v>6</v>
      </c>
      <c r="M749">
        <v>185</v>
      </c>
      <c r="N749">
        <v>3</v>
      </c>
      <c r="O749" t="s">
        <v>36</v>
      </c>
      <c r="P749" t="s">
        <v>38</v>
      </c>
      <c r="Q749">
        <v>0</v>
      </c>
      <c r="R749">
        <v>7</v>
      </c>
      <c r="S749" t="s">
        <v>1930</v>
      </c>
      <c r="T749" t="s">
        <v>40</v>
      </c>
      <c r="U749" t="s">
        <v>819</v>
      </c>
      <c r="V749" t="s">
        <v>105</v>
      </c>
      <c r="W749" t="s">
        <v>463</v>
      </c>
      <c r="X749" t="s">
        <v>1547</v>
      </c>
      <c r="Y749" t="s">
        <v>45</v>
      </c>
      <c r="Z749">
        <v>20</v>
      </c>
      <c r="AA749">
        <v>6</v>
      </c>
      <c r="AB749" t="s">
        <v>46</v>
      </c>
      <c r="AC749" t="s">
        <v>47</v>
      </c>
      <c r="AD749" t="s">
        <v>1931</v>
      </c>
      <c r="AE749" t="s">
        <v>1932</v>
      </c>
    </row>
    <row r="750" spans="1:31" x14ac:dyDescent="0.2">
      <c r="A750" t="s">
        <v>31</v>
      </c>
      <c r="B750">
        <v>2019</v>
      </c>
      <c r="C750">
        <v>53</v>
      </c>
      <c r="D750" s="1">
        <v>43589</v>
      </c>
      <c r="E750" t="s">
        <v>63</v>
      </c>
      <c r="F750" t="s">
        <v>1731</v>
      </c>
      <c r="G750" t="s">
        <v>66</v>
      </c>
      <c r="H750" t="s">
        <v>1820</v>
      </c>
      <c r="I750" t="s">
        <v>66</v>
      </c>
      <c r="J750" t="s">
        <v>54</v>
      </c>
      <c r="K750">
        <v>115</v>
      </c>
      <c r="L750">
        <v>9</v>
      </c>
      <c r="M750">
        <v>121</v>
      </c>
      <c r="N750">
        <v>5</v>
      </c>
      <c r="O750" t="s">
        <v>1820</v>
      </c>
      <c r="P750" t="s">
        <v>38</v>
      </c>
      <c r="Q750">
        <v>0</v>
      </c>
      <c r="R750">
        <v>5</v>
      </c>
      <c r="S750" t="s">
        <v>204</v>
      </c>
      <c r="T750" t="s">
        <v>440</v>
      </c>
      <c r="U750" t="s">
        <v>1189</v>
      </c>
      <c r="V750" t="s">
        <v>1890</v>
      </c>
      <c r="W750" t="s">
        <v>989</v>
      </c>
      <c r="X750" t="s">
        <v>1728</v>
      </c>
      <c r="Y750" t="s">
        <v>45</v>
      </c>
      <c r="Z750">
        <v>20</v>
      </c>
      <c r="AA750">
        <v>6</v>
      </c>
      <c r="AB750" t="s">
        <v>46</v>
      </c>
      <c r="AC750" t="s">
        <v>47</v>
      </c>
      <c r="AD750" t="s">
        <v>1933</v>
      </c>
      <c r="AE750" t="s">
        <v>1934</v>
      </c>
    </row>
    <row r="751" spans="1:31" x14ac:dyDescent="0.2">
      <c r="A751" t="s">
        <v>31</v>
      </c>
      <c r="B751">
        <v>2019</v>
      </c>
      <c r="C751">
        <v>54</v>
      </c>
      <c r="D751" s="1">
        <v>43589</v>
      </c>
      <c r="E751" t="s">
        <v>1558</v>
      </c>
      <c r="F751" t="s">
        <v>1559</v>
      </c>
      <c r="G751" t="s">
        <v>968</v>
      </c>
      <c r="H751" t="s">
        <v>35</v>
      </c>
      <c r="I751" t="s">
        <v>35</v>
      </c>
      <c r="J751" t="s">
        <v>37</v>
      </c>
      <c r="K751">
        <v>175</v>
      </c>
      <c r="L751">
        <v>7</v>
      </c>
      <c r="M751">
        <v>178</v>
      </c>
      <c r="N751">
        <v>6</v>
      </c>
      <c r="O751" t="s">
        <v>35</v>
      </c>
      <c r="P751" t="s">
        <v>38</v>
      </c>
      <c r="Q751">
        <v>0</v>
      </c>
      <c r="R751">
        <v>4</v>
      </c>
      <c r="S751" t="s">
        <v>1935</v>
      </c>
      <c r="T751" t="s">
        <v>1553</v>
      </c>
      <c r="U751" t="s">
        <v>146</v>
      </c>
      <c r="V751" t="s">
        <v>1064</v>
      </c>
      <c r="W751" t="s">
        <v>1210</v>
      </c>
      <c r="X751" t="s">
        <v>72</v>
      </c>
      <c r="Y751" t="s">
        <v>45</v>
      </c>
      <c r="Z751">
        <v>20</v>
      </c>
      <c r="AA751">
        <v>6</v>
      </c>
      <c r="AB751" t="s">
        <v>46</v>
      </c>
      <c r="AC751" t="s">
        <v>47</v>
      </c>
      <c r="AD751" t="s">
        <v>1936</v>
      </c>
      <c r="AE751" t="s">
        <v>1937</v>
      </c>
    </row>
    <row r="752" spans="1:31" x14ac:dyDescent="0.2">
      <c r="A752" t="s">
        <v>31</v>
      </c>
      <c r="B752">
        <v>2019</v>
      </c>
      <c r="C752">
        <v>55</v>
      </c>
      <c r="D752" s="1">
        <v>43590</v>
      </c>
      <c r="E752" t="s">
        <v>50</v>
      </c>
      <c r="F752" t="s">
        <v>1683</v>
      </c>
      <c r="G752" t="s">
        <v>53</v>
      </c>
      <c r="H752" t="s">
        <v>52</v>
      </c>
      <c r="I752" t="s">
        <v>52</v>
      </c>
      <c r="J752" t="s">
        <v>37</v>
      </c>
      <c r="K752">
        <v>170</v>
      </c>
      <c r="L752">
        <v>5</v>
      </c>
      <c r="M752">
        <v>173</v>
      </c>
      <c r="N752">
        <v>4</v>
      </c>
      <c r="O752" t="s">
        <v>52</v>
      </c>
      <c r="P752" t="s">
        <v>38</v>
      </c>
      <c r="Q752">
        <v>0</v>
      </c>
      <c r="R752">
        <v>6</v>
      </c>
      <c r="S752" t="s">
        <v>1684</v>
      </c>
      <c r="T752" t="s">
        <v>40</v>
      </c>
      <c r="U752" t="s">
        <v>105</v>
      </c>
      <c r="V752" t="s">
        <v>463</v>
      </c>
      <c r="W752" t="s">
        <v>819</v>
      </c>
      <c r="X752" t="s">
        <v>1547</v>
      </c>
      <c r="Y752" t="s">
        <v>45</v>
      </c>
      <c r="Z752">
        <v>20</v>
      </c>
      <c r="AA752">
        <v>6</v>
      </c>
      <c r="AB752" t="s">
        <v>46</v>
      </c>
      <c r="AC752" t="s">
        <v>47</v>
      </c>
      <c r="AD752" t="s">
        <v>1938</v>
      </c>
      <c r="AE752" t="s">
        <v>1939</v>
      </c>
    </row>
    <row r="753" spans="1:31" x14ac:dyDescent="0.2">
      <c r="A753" t="s">
        <v>31</v>
      </c>
      <c r="B753">
        <v>2019</v>
      </c>
      <c r="C753">
        <v>56</v>
      </c>
      <c r="D753" s="1">
        <v>43590</v>
      </c>
      <c r="E753" t="s">
        <v>85</v>
      </c>
      <c r="F753" t="s">
        <v>86</v>
      </c>
      <c r="G753" t="s">
        <v>36</v>
      </c>
      <c r="H753" t="s">
        <v>87</v>
      </c>
      <c r="I753" t="s">
        <v>87</v>
      </c>
      <c r="J753" t="s">
        <v>37</v>
      </c>
      <c r="K753">
        <v>133</v>
      </c>
      <c r="L753">
        <v>7</v>
      </c>
      <c r="M753">
        <v>134</v>
      </c>
      <c r="N753">
        <v>1</v>
      </c>
      <c r="O753" t="s">
        <v>87</v>
      </c>
      <c r="P753" t="s">
        <v>38</v>
      </c>
      <c r="Q753">
        <v>0</v>
      </c>
      <c r="R753">
        <v>9</v>
      </c>
      <c r="S753" t="s">
        <v>1369</v>
      </c>
      <c r="T753" t="s">
        <v>1279</v>
      </c>
      <c r="U753" t="s">
        <v>969</v>
      </c>
      <c r="V753" t="s">
        <v>158</v>
      </c>
      <c r="W753" t="s">
        <v>111</v>
      </c>
      <c r="X753" t="s">
        <v>174</v>
      </c>
      <c r="Y753" t="s">
        <v>45</v>
      </c>
      <c r="Z753">
        <v>20</v>
      </c>
      <c r="AA753">
        <v>6</v>
      </c>
      <c r="AB753" t="s">
        <v>46</v>
      </c>
      <c r="AC753" t="s">
        <v>47</v>
      </c>
      <c r="AD753" t="s">
        <v>1940</v>
      </c>
      <c r="AE753" t="s">
        <v>1941</v>
      </c>
    </row>
    <row r="754" spans="1:31" x14ac:dyDescent="0.2">
      <c r="A754" t="s">
        <v>31</v>
      </c>
      <c r="B754">
        <v>2019</v>
      </c>
      <c r="C754" t="s">
        <v>256</v>
      </c>
      <c r="D754" s="1">
        <v>43592</v>
      </c>
      <c r="E754" t="s">
        <v>108</v>
      </c>
      <c r="F754" t="s">
        <v>1692</v>
      </c>
      <c r="G754" t="s">
        <v>53</v>
      </c>
      <c r="H754" t="s">
        <v>87</v>
      </c>
      <c r="I754" t="s">
        <v>53</v>
      </c>
      <c r="J754" t="s">
        <v>54</v>
      </c>
      <c r="K754">
        <v>131</v>
      </c>
      <c r="L754">
        <v>4</v>
      </c>
      <c r="M754">
        <v>132</v>
      </c>
      <c r="N754">
        <v>4</v>
      </c>
      <c r="O754" t="s">
        <v>87</v>
      </c>
      <c r="P754" t="s">
        <v>38</v>
      </c>
      <c r="Q754">
        <v>0</v>
      </c>
      <c r="R754">
        <v>6</v>
      </c>
      <c r="S754" t="s">
        <v>1455</v>
      </c>
      <c r="T754" t="s">
        <v>40</v>
      </c>
      <c r="U754" t="s">
        <v>1064</v>
      </c>
      <c r="V754" t="s">
        <v>989</v>
      </c>
      <c r="W754" t="s">
        <v>1890</v>
      </c>
      <c r="X754" t="s">
        <v>158</v>
      </c>
      <c r="Y754" t="s">
        <v>45</v>
      </c>
      <c r="Z754">
        <v>20</v>
      </c>
      <c r="AA754">
        <v>6</v>
      </c>
      <c r="AB754" t="s">
        <v>46</v>
      </c>
      <c r="AC754" t="s">
        <v>47</v>
      </c>
      <c r="AD754" t="s">
        <v>1942</v>
      </c>
      <c r="AE754" t="s">
        <v>1943</v>
      </c>
    </row>
    <row r="755" spans="1:31" x14ac:dyDescent="0.2">
      <c r="A755" t="s">
        <v>31</v>
      </c>
      <c r="B755">
        <v>2019</v>
      </c>
      <c r="C755" t="s">
        <v>256</v>
      </c>
      <c r="D755" s="1">
        <v>43593</v>
      </c>
      <c r="E755" t="s">
        <v>800</v>
      </c>
      <c r="F755" t="s">
        <v>801</v>
      </c>
      <c r="G755" t="s">
        <v>968</v>
      </c>
      <c r="H755" t="s">
        <v>1820</v>
      </c>
      <c r="I755" t="s">
        <v>1820</v>
      </c>
      <c r="J755" t="s">
        <v>37</v>
      </c>
      <c r="K755">
        <v>162</v>
      </c>
      <c r="L755">
        <v>8</v>
      </c>
      <c r="M755">
        <v>165</v>
      </c>
      <c r="N755">
        <v>8</v>
      </c>
      <c r="O755" t="s">
        <v>1820</v>
      </c>
      <c r="P755" t="s">
        <v>38</v>
      </c>
      <c r="Q755">
        <v>0</v>
      </c>
      <c r="R755">
        <v>2</v>
      </c>
      <c r="S755" t="s">
        <v>1482</v>
      </c>
      <c r="T755" t="s">
        <v>440</v>
      </c>
      <c r="U755" t="s">
        <v>819</v>
      </c>
      <c r="V755" t="s">
        <v>111</v>
      </c>
      <c r="W755" t="s">
        <v>146</v>
      </c>
      <c r="X755" t="s">
        <v>105</v>
      </c>
      <c r="Y755" t="s">
        <v>45</v>
      </c>
      <c r="Z755">
        <v>20</v>
      </c>
      <c r="AA755">
        <v>6</v>
      </c>
      <c r="AB755" t="s">
        <v>46</v>
      </c>
      <c r="AC755" t="s">
        <v>47</v>
      </c>
      <c r="AD755" t="s">
        <v>1944</v>
      </c>
      <c r="AE755" t="s">
        <v>1945</v>
      </c>
    </row>
    <row r="756" spans="1:31" x14ac:dyDescent="0.2">
      <c r="A756" t="s">
        <v>31</v>
      </c>
      <c r="B756">
        <v>2019</v>
      </c>
      <c r="C756" t="s">
        <v>256</v>
      </c>
      <c r="D756" s="1">
        <v>43595</v>
      </c>
      <c r="E756" t="s">
        <v>800</v>
      </c>
      <c r="F756" t="s">
        <v>801</v>
      </c>
      <c r="G756" t="s">
        <v>1820</v>
      </c>
      <c r="H756" t="s">
        <v>53</v>
      </c>
      <c r="I756" t="s">
        <v>53</v>
      </c>
      <c r="J756" t="s">
        <v>37</v>
      </c>
      <c r="K756">
        <v>147</v>
      </c>
      <c r="L756">
        <v>9</v>
      </c>
      <c r="M756">
        <v>151</v>
      </c>
      <c r="N756">
        <v>4</v>
      </c>
      <c r="O756" t="s">
        <v>53</v>
      </c>
      <c r="P756" t="s">
        <v>38</v>
      </c>
      <c r="Q756">
        <v>0</v>
      </c>
      <c r="R756">
        <v>6</v>
      </c>
      <c r="S756" t="s">
        <v>822</v>
      </c>
      <c r="T756" t="s">
        <v>440</v>
      </c>
      <c r="U756" t="s">
        <v>819</v>
      </c>
      <c r="V756" t="s">
        <v>111</v>
      </c>
      <c r="W756" t="s">
        <v>105</v>
      </c>
      <c r="X756" t="s">
        <v>146</v>
      </c>
      <c r="Y756" t="s">
        <v>45</v>
      </c>
      <c r="Z756">
        <v>20</v>
      </c>
      <c r="AA756">
        <v>6</v>
      </c>
      <c r="AB756" t="s">
        <v>46</v>
      </c>
      <c r="AC756" t="s">
        <v>47</v>
      </c>
      <c r="AD756" t="s">
        <v>1946</v>
      </c>
      <c r="AE756" t="s">
        <v>1947</v>
      </c>
    </row>
    <row r="757" spans="1:31" x14ac:dyDescent="0.2">
      <c r="A757" t="s">
        <v>31</v>
      </c>
      <c r="B757">
        <v>2019</v>
      </c>
      <c r="C757" t="s">
        <v>256</v>
      </c>
      <c r="D757" s="1">
        <v>43597</v>
      </c>
      <c r="E757" t="s">
        <v>101</v>
      </c>
      <c r="F757" t="s">
        <v>1689</v>
      </c>
      <c r="G757" t="s">
        <v>87</v>
      </c>
      <c r="H757" t="s">
        <v>53</v>
      </c>
      <c r="I757" t="s">
        <v>87</v>
      </c>
      <c r="J757" t="s">
        <v>54</v>
      </c>
      <c r="K757">
        <v>149</v>
      </c>
      <c r="L757">
        <v>8</v>
      </c>
      <c r="M757">
        <v>148</v>
      </c>
      <c r="N757">
        <v>7</v>
      </c>
      <c r="O757" t="s">
        <v>87</v>
      </c>
      <c r="P757" t="s">
        <v>38</v>
      </c>
      <c r="Q757">
        <v>1</v>
      </c>
      <c r="R757">
        <v>0</v>
      </c>
      <c r="S757" t="s">
        <v>1571</v>
      </c>
      <c r="T757" t="s">
        <v>40</v>
      </c>
      <c r="U757" t="s">
        <v>1890</v>
      </c>
      <c r="V757" t="s">
        <v>989</v>
      </c>
      <c r="W757" t="s">
        <v>1064</v>
      </c>
      <c r="X757" t="s">
        <v>158</v>
      </c>
      <c r="Y757" t="s">
        <v>45</v>
      </c>
      <c r="Z757">
        <v>20</v>
      </c>
      <c r="AA757">
        <v>6</v>
      </c>
      <c r="AB757" t="s">
        <v>46</v>
      </c>
      <c r="AC757" t="s">
        <v>47</v>
      </c>
      <c r="AD757" t="s">
        <v>1948</v>
      </c>
      <c r="AE757" t="s">
        <v>1949</v>
      </c>
    </row>
    <row r="758" spans="1:31" x14ac:dyDescent="0.2">
      <c r="A758" t="s">
        <v>31</v>
      </c>
      <c r="B758" t="s">
        <v>1950</v>
      </c>
      <c r="C758">
        <v>1</v>
      </c>
      <c r="D758" s="1">
        <v>44093</v>
      </c>
      <c r="E758" t="s">
        <v>1137</v>
      </c>
      <c r="F758" t="s">
        <v>1138</v>
      </c>
      <c r="G758" t="s">
        <v>87</v>
      </c>
      <c r="H758" t="s">
        <v>53</v>
      </c>
      <c r="I758" t="s">
        <v>53</v>
      </c>
      <c r="J758" t="s">
        <v>37</v>
      </c>
      <c r="K758">
        <v>162</v>
      </c>
      <c r="L758">
        <v>9</v>
      </c>
      <c r="M758">
        <v>166</v>
      </c>
      <c r="N758">
        <v>5</v>
      </c>
      <c r="O758" t="s">
        <v>53</v>
      </c>
      <c r="P758" t="s">
        <v>38</v>
      </c>
      <c r="Q758">
        <v>0</v>
      </c>
      <c r="R758">
        <v>5</v>
      </c>
      <c r="S758" t="s">
        <v>530</v>
      </c>
      <c r="T758" t="s">
        <v>1279</v>
      </c>
      <c r="U758" t="s">
        <v>1283</v>
      </c>
      <c r="V758" t="s">
        <v>939</v>
      </c>
      <c r="W758" t="s">
        <v>111</v>
      </c>
      <c r="X758" t="s">
        <v>1210</v>
      </c>
      <c r="Y758" t="s">
        <v>45</v>
      </c>
      <c r="Z758">
        <v>20</v>
      </c>
      <c r="AA758">
        <v>6</v>
      </c>
      <c r="AB758" t="s">
        <v>46</v>
      </c>
      <c r="AC758" t="s">
        <v>47</v>
      </c>
      <c r="AD758" t="s">
        <v>1951</v>
      </c>
      <c r="AE758" t="s">
        <v>1952</v>
      </c>
    </row>
    <row r="759" spans="1:31" x14ac:dyDescent="0.2">
      <c r="A759" t="s">
        <v>31</v>
      </c>
      <c r="B759" t="s">
        <v>1950</v>
      </c>
      <c r="C759">
        <v>2</v>
      </c>
      <c r="D759" s="1">
        <v>44094</v>
      </c>
      <c r="E759" t="s">
        <v>72</v>
      </c>
      <c r="F759" t="s">
        <v>1151</v>
      </c>
      <c r="G759" t="s">
        <v>1820</v>
      </c>
      <c r="H759" t="s">
        <v>52</v>
      </c>
      <c r="I759" t="s">
        <v>52</v>
      </c>
      <c r="J759" t="s">
        <v>37</v>
      </c>
      <c r="K759">
        <v>160</v>
      </c>
      <c r="L759">
        <v>8</v>
      </c>
      <c r="M759">
        <v>159</v>
      </c>
      <c r="N759">
        <v>10</v>
      </c>
      <c r="O759" t="s">
        <v>304</v>
      </c>
      <c r="P759" t="s">
        <v>305</v>
      </c>
      <c r="Q759">
        <v>0</v>
      </c>
      <c r="R759">
        <v>0</v>
      </c>
      <c r="S759" t="s">
        <v>1493</v>
      </c>
      <c r="T759" t="s">
        <v>40</v>
      </c>
      <c r="U759" t="s">
        <v>146</v>
      </c>
      <c r="V759" t="s">
        <v>989</v>
      </c>
      <c r="W759" t="s">
        <v>604</v>
      </c>
      <c r="X759" t="s">
        <v>1417</v>
      </c>
      <c r="Y759" t="s">
        <v>45</v>
      </c>
      <c r="Z759">
        <v>20</v>
      </c>
      <c r="AA759">
        <v>6</v>
      </c>
      <c r="AB759" t="s">
        <v>46</v>
      </c>
      <c r="AC759" t="s">
        <v>47</v>
      </c>
      <c r="AD759" t="s">
        <v>1953</v>
      </c>
      <c r="AE759" t="s">
        <v>1954</v>
      </c>
    </row>
    <row r="760" spans="1:31" x14ac:dyDescent="0.2">
      <c r="A760" t="s">
        <v>31</v>
      </c>
      <c r="B760" t="s">
        <v>1950</v>
      </c>
      <c r="C760">
        <v>3</v>
      </c>
      <c r="D760" s="1">
        <v>44095</v>
      </c>
      <c r="E760" t="s">
        <v>72</v>
      </c>
      <c r="F760" t="s">
        <v>1151</v>
      </c>
      <c r="G760" t="s">
        <v>35</v>
      </c>
      <c r="H760" t="s">
        <v>968</v>
      </c>
      <c r="I760" t="s">
        <v>968</v>
      </c>
      <c r="J760" t="s">
        <v>37</v>
      </c>
      <c r="K760">
        <v>163</v>
      </c>
      <c r="L760">
        <v>5</v>
      </c>
      <c r="M760">
        <v>153</v>
      </c>
      <c r="N760">
        <v>10</v>
      </c>
      <c r="O760" t="s">
        <v>35</v>
      </c>
      <c r="P760" t="s">
        <v>38</v>
      </c>
      <c r="Q760">
        <v>10</v>
      </c>
      <c r="R760">
        <v>0</v>
      </c>
      <c r="S760" t="s">
        <v>1143</v>
      </c>
      <c r="T760" t="s">
        <v>1772</v>
      </c>
      <c r="U760" t="s">
        <v>1189</v>
      </c>
      <c r="V760" t="s">
        <v>989</v>
      </c>
      <c r="W760" t="s">
        <v>146</v>
      </c>
      <c r="X760" t="s">
        <v>1417</v>
      </c>
      <c r="Y760" t="s">
        <v>45</v>
      </c>
      <c r="Z760">
        <v>20</v>
      </c>
      <c r="AA760">
        <v>6</v>
      </c>
      <c r="AB760" t="s">
        <v>46</v>
      </c>
      <c r="AC760" t="s">
        <v>47</v>
      </c>
      <c r="AD760" t="s">
        <v>1955</v>
      </c>
      <c r="AE760" t="s">
        <v>1956</v>
      </c>
    </row>
    <row r="761" spans="1:31" x14ac:dyDescent="0.2">
      <c r="A761" t="s">
        <v>31</v>
      </c>
      <c r="B761" t="s">
        <v>1950</v>
      </c>
      <c r="C761">
        <v>4</v>
      </c>
      <c r="D761" s="1">
        <v>44096</v>
      </c>
      <c r="E761" t="s">
        <v>72</v>
      </c>
      <c r="F761" t="s">
        <v>1142</v>
      </c>
      <c r="G761" t="s">
        <v>66</v>
      </c>
      <c r="H761" t="s">
        <v>53</v>
      </c>
      <c r="I761" t="s">
        <v>53</v>
      </c>
      <c r="J761" t="s">
        <v>37</v>
      </c>
      <c r="K761">
        <v>216</v>
      </c>
      <c r="L761">
        <v>7</v>
      </c>
      <c r="M761">
        <v>200</v>
      </c>
      <c r="N761">
        <v>6</v>
      </c>
      <c r="O761" t="s">
        <v>66</v>
      </c>
      <c r="P761" t="s">
        <v>38</v>
      </c>
      <c r="Q761">
        <v>16</v>
      </c>
      <c r="R761">
        <v>0</v>
      </c>
      <c r="S761" t="s">
        <v>1055</v>
      </c>
      <c r="T761" t="s">
        <v>1553</v>
      </c>
      <c r="U761" t="s">
        <v>105</v>
      </c>
      <c r="V761" t="s">
        <v>642</v>
      </c>
      <c r="W761" t="s">
        <v>463</v>
      </c>
      <c r="X761" t="s">
        <v>174</v>
      </c>
      <c r="Y761" t="s">
        <v>45</v>
      </c>
      <c r="Z761">
        <v>20</v>
      </c>
      <c r="AA761">
        <v>6</v>
      </c>
      <c r="AB761" t="s">
        <v>46</v>
      </c>
      <c r="AC761" t="s">
        <v>47</v>
      </c>
      <c r="AD761" t="s">
        <v>1957</v>
      </c>
      <c r="AE761" t="s">
        <v>1958</v>
      </c>
    </row>
    <row r="762" spans="1:31" x14ac:dyDescent="0.2">
      <c r="A762" t="s">
        <v>31</v>
      </c>
      <c r="B762" t="s">
        <v>1950</v>
      </c>
      <c r="C762">
        <v>5</v>
      </c>
      <c r="D762" s="1">
        <v>44097</v>
      </c>
      <c r="E762" t="s">
        <v>1137</v>
      </c>
      <c r="F762" t="s">
        <v>1138</v>
      </c>
      <c r="G762" t="s">
        <v>87</v>
      </c>
      <c r="H762" t="s">
        <v>36</v>
      </c>
      <c r="I762" t="s">
        <v>36</v>
      </c>
      <c r="J762" t="s">
        <v>37</v>
      </c>
      <c r="K762">
        <v>195</v>
      </c>
      <c r="L762">
        <v>5</v>
      </c>
      <c r="M762">
        <v>146</v>
      </c>
      <c r="N762">
        <v>9</v>
      </c>
      <c r="O762" t="s">
        <v>87</v>
      </c>
      <c r="P762" t="s">
        <v>38</v>
      </c>
      <c r="Q762">
        <v>49</v>
      </c>
      <c r="R762">
        <v>0</v>
      </c>
      <c r="S762" t="s">
        <v>369</v>
      </c>
      <c r="T762" t="s">
        <v>1279</v>
      </c>
      <c r="U762" t="s">
        <v>1283</v>
      </c>
      <c r="V762" t="s">
        <v>111</v>
      </c>
      <c r="W762" t="s">
        <v>939</v>
      </c>
      <c r="X762" t="s">
        <v>791</v>
      </c>
      <c r="Y762" t="s">
        <v>45</v>
      </c>
      <c r="Z762">
        <v>20</v>
      </c>
      <c r="AA762">
        <v>6</v>
      </c>
      <c r="AB762" t="s">
        <v>46</v>
      </c>
      <c r="AC762" t="s">
        <v>47</v>
      </c>
      <c r="AD762" t="s">
        <v>1959</v>
      </c>
      <c r="AE762" t="s">
        <v>1960</v>
      </c>
    </row>
    <row r="763" spans="1:31" x14ac:dyDescent="0.2">
      <c r="A763" t="s">
        <v>31</v>
      </c>
      <c r="B763" t="s">
        <v>1950</v>
      </c>
      <c r="C763">
        <v>6</v>
      </c>
      <c r="D763" s="1">
        <v>44098</v>
      </c>
      <c r="E763" t="s">
        <v>72</v>
      </c>
      <c r="F763" t="s">
        <v>1151</v>
      </c>
      <c r="G763" t="s">
        <v>52</v>
      </c>
      <c r="H763" t="s">
        <v>35</v>
      </c>
      <c r="I763" t="s">
        <v>35</v>
      </c>
      <c r="J763" t="s">
        <v>37</v>
      </c>
      <c r="K763">
        <v>206</v>
      </c>
      <c r="L763">
        <v>3</v>
      </c>
      <c r="M763">
        <v>109</v>
      </c>
      <c r="N763">
        <v>10</v>
      </c>
      <c r="O763" t="s">
        <v>52</v>
      </c>
      <c r="P763" t="s">
        <v>38</v>
      </c>
      <c r="Q763">
        <v>97</v>
      </c>
      <c r="R763">
        <v>0</v>
      </c>
      <c r="S763" t="s">
        <v>1684</v>
      </c>
      <c r="T763" t="s">
        <v>40</v>
      </c>
      <c r="U763" t="s">
        <v>146</v>
      </c>
      <c r="V763" t="s">
        <v>604</v>
      </c>
      <c r="W763" t="s">
        <v>989</v>
      </c>
      <c r="X763" t="s">
        <v>1189</v>
      </c>
      <c r="Y763" t="s">
        <v>45</v>
      </c>
      <c r="Z763">
        <v>20</v>
      </c>
      <c r="AA763">
        <v>6</v>
      </c>
      <c r="AB763" t="s">
        <v>46</v>
      </c>
      <c r="AC763" t="s">
        <v>47</v>
      </c>
      <c r="AD763" t="s">
        <v>1961</v>
      </c>
      <c r="AE763" t="s">
        <v>1962</v>
      </c>
    </row>
    <row r="764" spans="1:31" x14ac:dyDescent="0.2">
      <c r="A764" t="s">
        <v>31</v>
      </c>
      <c r="B764" t="s">
        <v>1950</v>
      </c>
      <c r="C764">
        <v>7</v>
      </c>
      <c r="D764" s="1">
        <v>44099</v>
      </c>
      <c r="E764" t="s">
        <v>72</v>
      </c>
      <c r="F764" t="s">
        <v>1151</v>
      </c>
      <c r="G764" t="s">
        <v>1820</v>
      </c>
      <c r="H764" t="s">
        <v>53</v>
      </c>
      <c r="I764" t="s">
        <v>53</v>
      </c>
      <c r="J764" t="s">
        <v>37</v>
      </c>
      <c r="K764">
        <v>175</v>
      </c>
      <c r="L764">
        <v>3</v>
      </c>
      <c r="M764">
        <v>131</v>
      </c>
      <c r="N764">
        <v>7</v>
      </c>
      <c r="O764" t="s">
        <v>1820</v>
      </c>
      <c r="P764" t="s">
        <v>38</v>
      </c>
      <c r="Q764">
        <v>44</v>
      </c>
      <c r="R764">
        <v>0</v>
      </c>
      <c r="S764" t="s">
        <v>1835</v>
      </c>
      <c r="T764" t="s">
        <v>1553</v>
      </c>
      <c r="U764" t="s">
        <v>463</v>
      </c>
      <c r="V764" t="s">
        <v>1139</v>
      </c>
      <c r="W764" t="s">
        <v>174</v>
      </c>
      <c r="X764" t="s">
        <v>642</v>
      </c>
      <c r="Y764" t="s">
        <v>45</v>
      </c>
      <c r="Z764">
        <v>20</v>
      </c>
      <c r="AA764">
        <v>6</v>
      </c>
      <c r="AB764" t="s">
        <v>46</v>
      </c>
      <c r="AC764" t="s">
        <v>47</v>
      </c>
      <c r="AD764" t="s">
        <v>1963</v>
      </c>
      <c r="AE764" t="s">
        <v>1964</v>
      </c>
    </row>
    <row r="765" spans="1:31" x14ac:dyDescent="0.2">
      <c r="A765" t="s">
        <v>31</v>
      </c>
      <c r="B765" t="s">
        <v>1950</v>
      </c>
      <c r="C765">
        <v>8</v>
      </c>
      <c r="D765" s="1">
        <v>44100</v>
      </c>
      <c r="E765" t="s">
        <v>1137</v>
      </c>
      <c r="F765" t="s">
        <v>1138</v>
      </c>
      <c r="G765" t="s">
        <v>968</v>
      </c>
      <c r="H765" t="s">
        <v>36</v>
      </c>
      <c r="I765" t="s">
        <v>968</v>
      </c>
      <c r="J765" t="s">
        <v>54</v>
      </c>
      <c r="K765">
        <v>142</v>
      </c>
      <c r="L765">
        <v>4</v>
      </c>
      <c r="M765">
        <v>145</v>
      </c>
      <c r="N765">
        <v>3</v>
      </c>
      <c r="O765" t="s">
        <v>36</v>
      </c>
      <c r="P765" t="s">
        <v>38</v>
      </c>
      <c r="Q765">
        <v>0</v>
      </c>
      <c r="R765">
        <v>7</v>
      </c>
      <c r="S765" t="s">
        <v>1930</v>
      </c>
      <c r="T765" t="s">
        <v>1965</v>
      </c>
      <c r="U765" t="s">
        <v>1283</v>
      </c>
      <c r="V765" t="s">
        <v>939</v>
      </c>
      <c r="W765" t="s">
        <v>111</v>
      </c>
      <c r="X765" t="s">
        <v>1210</v>
      </c>
      <c r="Y765" t="s">
        <v>45</v>
      </c>
      <c r="Z765">
        <v>20</v>
      </c>
      <c r="AA765">
        <v>6</v>
      </c>
      <c r="AB765" t="s">
        <v>46</v>
      </c>
      <c r="AC765" t="s">
        <v>47</v>
      </c>
      <c r="AD765" t="s">
        <v>1966</v>
      </c>
      <c r="AE765" t="s">
        <v>1967</v>
      </c>
    </row>
    <row r="766" spans="1:31" x14ac:dyDescent="0.2">
      <c r="A766" t="s">
        <v>31</v>
      </c>
      <c r="B766" t="s">
        <v>1950</v>
      </c>
      <c r="C766">
        <v>9</v>
      </c>
      <c r="D766" s="1">
        <v>44101</v>
      </c>
      <c r="E766" t="s">
        <v>72</v>
      </c>
      <c r="F766" t="s">
        <v>1142</v>
      </c>
      <c r="G766" t="s">
        <v>52</v>
      </c>
      <c r="H766" t="s">
        <v>66</v>
      </c>
      <c r="I766" t="s">
        <v>66</v>
      </c>
      <c r="J766" t="s">
        <v>37</v>
      </c>
      <c r="K766">
        <v>223</v>
      </c>
      <c r="L766">
        <v>2</v>
      </c>
      <c r="M766">
        <v>226</v>
      </c>
      <c r="N766">
        <v>6</v>
      </c>
      <c r="O766" t="s">
        <v>66</v>
      </c>
      <c r="P766" t="s">
        <v>38</v>
      </c>
      <c r="Q766">
        <v>0</v>
      </c>
      <c r="R766">
        <v>4</v>
      </c>
      <c r="S766" t="s">
        <v>1055</v>
      </c>
      <c r="T766" t="s">
        <v>1553</v>
      </c>
      <c r="U766" t="s">
        <v>1139</v>
      </c>
      <c r="V766" t="s">
        <v>174</v>
      </c>
      <c r="W766" t="s">
        <v>105</v>
      </c>
      <c r="X766" t="s">
        <v>642</v>
      </c>
      <c r="Y766" t="s">
        <v>45</v>
      </c>
      <c r="Z766">
        <v>20</v>
      </c>
      <c r="AA766">
        <v>6</v>
      </c>
      <c r="AB766" t="s">
        <v>46</v>
      </c>
      <c r="AC766" t="s">
        <v>47</v>
      </c>
      <c r="AD766" t="s">
        <v>1968</v>
      </c>
      <c r="AE766" t="s">
        <v>1969</v>
      </c>
    </row>
    <row r="767" spans="1:31" x14ac:dyDescent="0.2">
      <c r="A767" t="s">
        <v>31</v>
      </c>
      <c r="B767" t="s">
        <v>1950</v>
      </c>
      <c r="C767">
        <v>10</v>
      </c>
      <c r="D767" s="1">
        <v>44102</v>
      </c>
      <c r="E767" t="s">
        <v>72</v>
      </c>
      <c r="F767" t="s">
        <v>1151</v>
      </c>
      <c r="G767" t="s">
        <v>35</v>
      </c>
      <c r="H767" t="s">
        <v>87</v>
      </c>
      <c r="I767" t="s">
        <v>87</v>
      </c>
      <c r="J767" t="s">
        <v>37</v>
      </c>
      <c r="K767">
        <v>212</v>
      </c>
      <c r="L767">
        <v>3</v>
      </c>
      <c r="M767">
        <v>208</v>
      </c>
      <c r="N767">
        <v>6</v>
      </c>
      <c r="O767" t="s">
        <v>304</v>
      </c>
      <c r="P767" t="s">
        <v>305</v>
      </c>
      <c r="Q767">
        <v>0</v>
      </c>
      <c r="R767">
        <v>0</v>
      </c>
      <c r="S767" t="s">
        <v>300</v>
      </c>
      <c r="T767" t="s">
        <v>40</v>
      </c>
      <c r="U767" t="s">
        <v>989</v>
      </c>
      <c r="V767" t="s">
        <v>604</v>
      </c>
      <c r="W767" t="s">
        <v>146</v>
      </c>
      <c r="X767" t="s">
        <v>1417</v>
      </c>
      <c r="Y767" t="s">
        <v>45</v>
      </c>
      <c r="Z767">
        <v>20</v>
      </c>
      <c r="AA767">
        <v>6</v>
      </c>
      <c r="AB767" t="s">
        <v>46</v>
      </c>
      <c r="AC767" t="s">
        <v>47</v>
      </c>
      <c r="AD767" t="s">
        <v>1970</v>
      </c>
      <c r="AE767" t="s">
        <v>1971</v>
      </c>
    </row>
    <row r="768" spans="1:31" x14ac:dyDescent="0.2">
      <c r="A768" t="s">
        <v>31</v>
      </c>
      <c r="B768" t="s">
        <v>1950</v>
      </c>
      <c r="C768">
        <v>11</v>
      </c>
      <c r="D768" s="1">
        <v>44103</v>
      </c>
      <c r="E768" t="s">
        <v>1137</v>
      </c>
      <c r="F768" t="s">
        <v>1138</v>
      </c>
      <c r="G768" t="s">
        <v>968</v>
      </c>
      <c r="H768" t="s">
        <v>1820</v>
      </c>
      <c r="I768" t="s">
        <v>1820</v>
      </c>
      <c r="J768" t="s">
        <v>37</v>
      </c>
      <c r="K768">
        <v>162</v>
      </c>
      <c r="L768">
        <v>4</v>
      </c>
      <c r="M768">
        <v>147</v>
      </c>
      <c r="N768">
        <v>7</v>
      </c>
      <c r="O768" t="s">
        <v>968</v>
      </c>
      <c r="P768" t="s">
        <v>38</v>
      </c>
      <c r="Q768">
        <v>15</v>
      </c>
      <c r="R768">
        <v>0</v>
      </c>
      <c r="S768" t="s">
        <v>1562</v>
      </c>
      <c r="T768" t="s">
        <v>1279</v>
      </c>
      <c r="U768" t="s">
        <v>939</v>
      </c>
      <c r="V768" t="s">
        <v>111</v>
      </c>
      <c r="W768" t="s">
        <v>1283</v>
      </c>
      <c r="X768" t="s">
        <v>791</v>
      </c>
      <c r="Y768" t="s">
        <v>45</v>
      </c>
      <c r="Z768">
        <v>20</v>
      </c>
      <c r="AA768">
        <v>6</v>
      </c>
      <c r="AB768" t="s">
        <v>46</v>
      </c>
      <c r="AC768" t="s">
        <v>47</v>
      </c>
      <c r="AD768" t="s">
        <v>1972</v>
      </c>
      <c r="AE768" t="s">
        <v>1973</v>
      </c>
    </row>
    <row r="769" spans="1:31" x14ac:dyDescent="0.2">
      <c r="A769" t="s">
        <v>31</v>
      </c>
      <c r="B769" t="s">
        <v>1950</v>
      </c>
      <c r="C769">
        <v>12</v>
      </c>
      <c r="D769" s="1">
        <v>44104</v>
      </c>
      <c r="E769" t="s">
        <v>72</v>
      </c>
      <c r="F769" t="s">
        <v>1151</v>
      </c>
      <c r="G769" t="s">
        <v>36</v>
      </c>
      <c r="H769" t="s">
        <v>66</v>
      </c>
      <c r="I769" t="s">
        <v>66</v>
      </c>
      <c r="J769" t="s">
        <v>37</v>
      </c>
      <c r="K769">
        <v>174</v>
      </c>
      <c r="L769">
        <v>6</v>
      </c>
      <c r="M769">
        <v>137</v>
      </c>
      <c r="N769">
        <v>9</v>
      </c>
      <c r="O769" t="s">
        <v>36</v>
      </c>
      <c r="P769" t="s">
        <v>38</v>
      </c>
      <c r="Q769">
        <v>37</v>
      </c>
      <c r="R769">
        <v>0</v>
      </c>
      <c r="S769" t="s">
        <v>1974</v>
      </c>
      <c r="T769" t="s">
        <v>1553</v>
      </c>
      <c r="U769" t="s">
        <v>463</v>
      </c>
      <c r="V769" t="s">
        <v>105</v>
      </c>
      <c r="W769" t="s">
        <v>642</v>
      </c>
      <c r="X769" t="s">
        <v>174</v>
      </c>
      <c r="Y769" t="s">
        <v>45</v>
      </c>
      <c r="Z769">
        <v>20</v>
      </c>
      <c r="AA769">
        <v>6</v>
      </c>
      <c r="AB769" t="s">
        <v>46</v>
      </c>
      <c r="AC769" t="s">
        <v>47</v>
      </c>
      <c r="AD769" t="s">
        <v>1975</v>
      </c>
      <c r="AE769" t="s">
        <v>1976</v>
      </c>
    </row>
    <row r="770" spans="1:31" x14ac:dyDescent="0.2">
      <c r="A770" t="s">
        <v>31</v>
      </c>
      <c r="B770" t="s">
        <v>1950</v>
      </c>
      <c r="C770">
        <v>13</v>
      </c>
      <c r="D770" s="1">
        <v>44105</v>
      </c>
      <c r="E770" t="s">
        <v>1137</v>
      </c>
      <c r="F770" t="s">
        <v>1138</v>
      </c>
      <c r="G770" t="s">
        <v>87</v>
      </c>
      <c r="H770" t="s">
        <v>52</v>
      </c>
      <c r="I770" t="s">
        <v>52</v>
      </c>
      <c r="J770" t="s">
        <v>37</v>
      </c>
      <c r="K770">
        <v>191</v>
      </c>
      <c r="L770">
        <v>4</v>
      </c>
      <c r="M770">
        <v>143</v>
      </c>
      <c r="N770">
        <v>8</v>
      </c>
      <c r="O770" t="s">
        <v>87</v>
      </c>
      <c r="P770" t="s">
        <v>38</v>
      </c>
      <c r="Q770">
        <v>48</v>
      </c>
      <c r="R770">
        <v>0</v>
      </c>
      <c r="S770" t="s">
        <v>568</v>
      </c>
      <c r="T770" t="s">
        <v>1279</v>
      </c>
      <c r="U770" t="s">
        <v>939</v>
      </c>
      <c r="V770" t="s">
        <v>111</v>
      </c>
      <c r="W770" t="s">
        <v>1210</v>
      </c>
      <c r="X770" t="s">
        <v>791</v>
      </c>
      <c r="Y770" t="s">
        <v>45</v>
      </c>
      <c r="Z770">
        <v>20</v>
      </c>
      <c r="AA770">
        <v>6</v>
      </c>
      <c r="AB770" t="s">
        <v>46</v>
      </c>
      <c r="AC770" t="s">
        <v>47</v>
      </c>
      <c r="AD770" t="s">
        <v>1977</v>
      </c>
      <c r="AE770" t="s">
        <v>1978</v>
      </c>
    </row>
    <row r="771" spans="1:31" x14ac:dyDescent="0.2">
      <c r="A771" t="s">
        <v>31</v>
      </c>
      <c r="B771" t="s">
        <v>1950</v>
      </c>
      <c r="C771">
        <v>14</v>
      </c>
      <c r="D771" s="1">
        <v>44106</v>
      </c>
      <c r="E771" t="s">
        <v>72</v>
      </c>
      <c r="F771" t="s">
        <v>1151</v>
      </c>
      <c r="G771" t="s">
        <v>968</v>
      </c>
      <c r="H771" t="s">
        <v>53</v>
      </c>
      <c r="I771" t="s">
        <v>968</v>
      </c>
      <c r="J771" t="s">
        <v>54</v>
      </c>
      <c r="K771">
        <v>164</v>
      </c>
      <c r="L771">
        <v>5</v>
      </c>
      <c r="M771">
        <v>157</v>
      </c>
      <c r="N771">
        <v>5</v>
      </c>
      <c r="O771" t="s">
        <v>968</v>
      </c>
      <c r="P771" t="s">
        <v>38</v>
      </c>
      <c r="Q771">
        <v>7</v>
      </c>
      <c r="R771">
        <v>0</v>
      </c>
      <c r="S771" t="s">
        <v>1979</v>
      </c>
      <c r="T771" t="s">
        <v>1772</v>
      </c>
      <c r="U771" t="s">
        <v>146</v>
      </c>
      <c r="V771" t="s">
        <v>604</v>
      </c>
      <c r="W771" t="s">
        <v>1417</v>
      </c>
      <c r="X771" t="s">
        <v>1189</v>
      </c>
      <c r="Y771" t="s">
        <v>45</v>
      </c>
      <c r="Z771">
        <v>20</v>
      </c>
      <c r="AA771">
        <v>6</v>
      </c>
      <c r="AB771" t="s">
        <v>46</v>
      </c>
      <c r="AC771" t="s">
        <v>47</v>
      </c>
      <c r="AD771" t="s">
        <v>1980</v>
      </c>
      <c r="AE771" t="s">
        <v>1981</v>
      </c>
    </row>
    <row r="772" spans="1:31" x14ac:dyDescent="0.2">
      <c r="A772" t="s">
        <v>31</v>
      </c>
      <c r="B772" t="s">
        <v>1950</v>
      </c>
      <c r="C772">
        <v>15</v>
      </c>
      <c r="D772" s="1">
        <v>44107</v>
      </c>
      <c r="E772" t="s">
        <v>1137</v>
      </c>
      <c r="F772" t="s">
        <v>1138</v>
      </c>
      <c r="G772" t="s">
        <v>66</v>
      </c>
      <c r="H772" t="s">
        <v>35</v>
      </c>
      <c r="I772" t="s">
        <v>66</v>
      </c>
      <c r="J772" t="s">
        <v>54</v>
      </c>
      <c r="K772">
        <v>154</v>
      </c>
      <c r="L772">
        <v>6</v>
      </c>
      <c r="M772">
        <v>158</v>
      </c>
      <c r="N772">
        <v>2</v>
      </c>
      <c r="O772" t="s">
        <v>35</v>
      </c>
      <c r="P772" t="s">
        <v>38</v>
      </c>
      <c r="Q772">
        <v>0</v>
      </c>
      <c r="R772">
        <v>8</v>
      </c>
      <c r="S772" t="s">
        <v>1143</v>
      </c>
      <c r="T772" t="s">
        <v>1279</v>
      </c>
      <c r="U772" t="s">
        <v>1283</v>
      </c>
      <c r="V772" t="s">
        <v>111</v>
      </c>
      <c r="W772" t="s">
        <v>791</v>
      </c>
      <c r="X772" t="s">
        <v>1210</v>
      </c>
      <c r="Y772" t="s">
        <v>45</v>
      </c>
      <c r="Z772">
        <v>20</v>
      </c>
      <c r="AA772">
        <v>6</v>
      </c>
      <c r="AB772" t="s">
        <v>46</v>
      </c>
      <c r="AC772" t="s">
        <v>47</v>
      </c>
      <c r="AD772" t="s">
        <v>1982</v>
      </c>
      <c r="AE772" t="s">
        <v>1970</v>
      </c>
    </row>
    <row r="773" spans="1:31" x14ac:dyDescent="0.2">
      <c r="A773" t="s">
        <v>31</v>
      </c>
      <c r="B773" t="s">
        <v>1950</v>
      </c>
      <c r="C773">
        <v>16</v>
      </c>
      <c r="D773" s="1">
        <v>44107</v>
      </c>
      <c r="E773" t="s">
        <v>72</v>
      </c>
      <c r="F773" t="s">
        <v>1142</v>
      </c>
      <c r="G773" t="s">
        <v>1820</v>
      </c>
      <c r="H773" t="s">
        <v>36</v>
      </c>
      <c r="I773" t="s">
        <v>36</v>
      </c>
      <c r="J773" t="s">
        <v>37</v>
      </c>
      <c r="K773">
        <v>228</v>
      </c>
      <c r="L773">
        <v>4</v>
      </c>
      <c r="M773">
        <v>210</v>
      </c>
      <c r="N773">
        <v>8</v>
      </c>
      <c r="O773" t="s">
        <v>1820</v>
      </c>
      <c r="P773" t="s">
        <v>38</v>
      </c>
      <c r="Q773">
        <v>18</v>
      </c>
      <c r="R773">
        <v>0</v>
      </c>
      <c r="S773" t="s">
        <v>1322</v>
      </c>
      <c r="T773" t="s">
        <v>1553</v>
      </c>
      <c r="U773" t="s">
        <v>642</v>
      </c>
      <c r="V773" t="s">
        <v>1139</v>
      </c>
      <c r="W773" t="s">
        <v>463</v>
      </c>
      <c r="X773" t="s">
        <v>174</v>
      </c>
      <c r="Y773" t="s">
        <v>45</v>
      </c>
      <c r="Z773">
        <v>20</v>
      </c>
      <c r="AA773">
        <v>6</v>
      </c>
      <c r="AB773" t="s">
        <v>46</v>
      </c>
      <c r="AC773" t="s">
        <v>47</v>
      </c>
      <c r="AD773" t="s">
        <v>1983</v>
      </c>
      <c r="AE773" t="s">
        <v>1984</v>
      </c>
    </row>
    <row r="774" spans="1:31" x14ac:dyDescent="0.2">
      <c r="A774" t="s">
        <v>31</v>
      </c>
      <c r="B774" t="s">
        <v>1950</v>
      </c>
      <c r="C774">
        <v>17</v>
      </c>
      <c r="D774" s="1">
        <v>44108</v>
      </c>
      <c r="E774" t="s">
        <v>72</v>
      </c>
      <c r="F774" t="s">
        <v>1142</v>
      </c>
      <c r="G774" t="s">
        <v>87</v>
      </c>
      <c r="H774" t="s">
        <v>968</v>
      </c>
      <c r="I774" t="s">
        <v>87</v>
      </c>
      <c r="J774" t="s">
        <v>54</v>
      </c>
      <c r="K774">
        <v>208</v>
      </c>
      <c r="L774">
        <v>5</v>
      </c>
      <c r="M774">
        <v>174</v>
      </c>
      <c r="N774">
        <v>7</v>
      </c>
      <c r="O774" t="s">
        <v>87</v>
      </c>
      <c r="P774" t="s">
        <v>38</v>
      </c>
      <c r="Q774">
        <v>34</v>
      </c>
      <c r="R774">
        <v>0</v>
      </c>
      <c r="S774" t="s">
        <v>1335</v>
      </c>
      <c r="T774" t="s">
        <v>1553</v>
      </c>
      <c r="U774" t="s">
        <v>463</v>
      </c>
      <c r="V774" t="s">
        <v>1139</v>
      </c>
      <c r="W774" t="s">
        <v>174</v>
      </c>
      <c r="X774" t="s">
        <v>642</v>
      </c>
      <c r="Y774" t="s">
        <v>45</v>
      </c>
      <c r="Z774">
        <v>20</v>
      </c>
      <c r="AA774">
        <v>6</v>
      </c>
      <c r="AB774" t="s">
        <v>46</v>
      </c>
      <c r="AC774" t="s">
        <v>47</v>
      </c>
      <c r="AD774" t="s">
        <v>1971</v>
      </c>
      <c r="AE774" t="s">
        <v>1985</v>
      </c>
    </row>
    <row r="775" spans="1:31" x14ac:dyDescent="0.2">
      <c r="A775" t="s">
        <v>31</v>
      </c>
      <c r="B775" t="s">
        <v>1950</v>
      </c>
      <c r="C775">
        <v>18</v>
      </c>
      <c r="D775" s="1">
        <v>44108</v>
      </c>
      <c r="E775" t="s">
        <v>72</v>
      </c>
      <c r="F775" t="s">
        <v>1151</v>
      </c>
      <c r="G775" t="s">
        <v>52</v>
      </c>
      <c r="H775" t="s">
        <v>53</v>
      </c>
      <c r="I775" t="s">
        <v>52</v>
      </c>
      <c r="J775" t="s">
        <v>54</v>
      </c>
      <c r="K775">
        <v>178</v>
      </c>
      <c r="L775">
        <v>4</v>
      </c>
      <c r="M775">
        <v>181</v>
      </c>
      <c r="N775">
        <v>0</v>
      </c>
      <c r="O775" t="s">
        <v>53</v>
      </c>
      <c r="P775" t="s">
        <v>38</v>
      </c>
      <c r="Q775">
        <v>0</v>
      </c>
      <c r="R775">
        <v>10</v>
      </c>
      <c r="S775" t="s">
        <v>97</v>
      </c>
      <c r="T775" t="s">
        <v>40</v>
      </c>
      <c r="U775" t="s">
        <v>1189</v>
      </c>
      <c r="V775" t="s">
        <v>989</v>
      </c>
      <c r="W775" t="s">
        <v>604</v>
      </c>
      <c r="X775" t="s">
        <v>1417</v>
      </c>
      <c r="Y775" t="s">
        <v>45</v>
      </c>
      <c r="Z775">
        <v>20</v>
      </c>
      <c r="AA775">
        <v>6</v>
      </c>
      <c r="AB775" t="s">
        <v>46</v>
      </c>
      <c r="AC775" t="s">
        <v>47</v>
      </c>
      <c r="AD775" t="s">
        <v>1986</v>
      </c>
      <c r="AE775" t="s">
        <v>1987</v>
      </c>
    </row>
    <row r="776" spans="1:31" x14ac:dyDescent="0.2">
      <c r="A776" t="s">
        <v>31</v>
      </c>
      <c r="B776" t="s">
        <v>1950</v>
      </c>
      <c r="C776">
        <v>19</v>
      </c>
      <c r="D776" s="1">
        <v>44109</v>
      </c>
      <c r="E776" t="s">
        <v>72</v>
      </c>
      <c r="F776" t="s">
        <v>1151</v>
      </c>
      <c r="G776" t="s">
        <v>1820</v>
      </c>
      <c r="H776" t="s">
        <v>35</v>
      </c>
      <c r="I776" t="s">
        <v>35</v>
      </c>
      <c r="J776" t="s">
        <v>37</v>
      </c>
      <c r="K776">
        <v>196</v>
      </c>
      <c r="L776">
        <v>4</v>
      </c>
      <c r="M776">
        <v>137</v>
      </c>
      <c r="N776">
        <v>9</v>
      </c>
      <c r="O776" t="s">
        <v>1820</v>
      </c>
      <c r="P776" t="s">
        <v>38</v>
      </c>
      <c r="Q776">
        <v>59</v>
      </c>
      <c r="R776">
        <v>0</v>
      </c>
      <c r="S776" t="s">
        <v>1243</v>
      </c>
      <c r="T776" t="s">
        <v>1772</v>
      </c>
      <c r="U776" t="s">
        <v>989</v>
      </c>
      <c r="V776" t="s">
        <v>1417</v>
      </c>
      <c r="W776" t="s">
        <v>604</v>
      </c>
      <c r="X776" t="s">
        <v>1189</v>
      </c>
      <c r="Y776" t="s">
        <v>45</v>
      </c>
      <c r="Z776">
        <v>20</v>
      </c>
      <c r="AA776">
        <v>6</v>
      </c>
      <c r="AB776" t="s">
        <v>46</v>
      </c>
      <c r="AC776" t="s">
        <v>47</v>
      </c>
      <c r="AD776" t="s">
        <v>1988</v>
      </c>
      <c r="AE776" t="s">
        <v>1989</v>
      </c>
    </row>
    <row r="777" spans="1:31" x14ac:dyDescent="0.2">
      <c r="A777" t="s">
        <v>31</v>
      </c>
      <c r="B777" t="s">
        <v>1950</v>
      </c>
      <c r="C777">
        <v>20</v>
      </c>
      <c r="D777" s="1">
        <v>44110</v>
      </c>
      <c r="E777" t="s">
        <v>1137</v>
      </c>
      <c r="F777" t="s">
        <v>1138</v>
      </c>
      <c r="G777" t="s">
        <v>87</v>
      </c>
      <c r="H777" t="s">
        <v>66</v>
      </c>
      <c r="I777" t="s">
        <v>87</v>
      </c>
      <c r="J777" t="s">
        <v>54</v>
      </c>
      <c r="K777">
        <v>193</v>
      </c>
      <c r="L777">
        <v>4</v>
      </c>
      <c r="M777">
        <v>136</v>
      </c>
      <c r="N777">
        <v>10</v>
      </c>
      <c r="O777" t="s">
        <v>87</v>
      </c>
      <c r="P777" t="s">
        <v>38</v>
      </c>
      <c r="Q777">
        <v>57</v>
      </c>
      <c r="R777">
        <v>0</v>
      </c>
      <c r="S777" t="s">
        <v>1455</v>
      </c>
      <c r="T777" t="s">
        <v>1965</v>
      </c>
      <c r="U777" t="s">
        <v>939</v>
      </c>
      <c r="V777" t="s">
        <v>111</v>
      </c>
      <c r="W777" t="s">
        <v>1283</v>
      </c>
      <c r="X777" t="s">
        <v>1210</v>
      </c>
      <c r="Y777" t="s">
        <v>45</v>
      </c>
      <c r="Z777">
        <v>20</v>
      </c>
      <c r="AA777">
        <v>6</v>
      </c>
      <c r="AB777" t="s">
        <v>46</v>
      </c>
      <c r="AC777" t="s">
        <v>47</v>
      </c>
      <c r="AD777" t="s">
        <v>1990</v>
      </c>
      <c r="AE777" t="s">
        <v>1991</v>
      </c>
    </row>
    <row r="778" spans="1:31" x14ac:dyDescent="0.2">
      <c r="A778" t="s">
        <v>31</v>
      </c>
      <c r="B778" t="s">
        <v>1950</v>
      </c>
      <c r="C778">
        <v>21</v>
      </c>
      <c r="D778" s="1">
        <v>44111</v>
      </c>
      <c r="E778" t="s">
        <v>1137</v>
      </c>
      <c r="F778" t="s">
        <v>1138</v>
      </c>
      <c r="G778" t="s">
        <v>36</v>
      </c>
      <c r="H778" t="s">
        <v>53</v>
      </c>
      <c r="I778" t="s">
        <v>36</v>
      </c>
      <c r="J778" t="s">
        <v>54</v>
      </c>
      <c r="K778">
        <v>167</v>
      </c>
      <c r="L778">
        <v>10</v>
      </c>
      <c r="M778">
        <v>157</v>
      </c>
      <c r="N778">
        <v>5</v>
      </c>
      <c r="O778" t="s">
        <v>36</v>
      </c>
      <c r="P778" t="s">
        <v>38</v>
      </c>
      <c r="Q778">
        <v>10</v>
      </c>
      <c r="R778">
        <v>0</v>
      </c>
      <c r="S778" t="s">
        <v>1637</v>
      </c>
      <c r="T778" t="s">
        <v>1553</v>
      </c>
      <c r="U778" t="s">
        <v>463</v>
      </c>
      <c r="V778" t="s">
        <v>1139</v>
      </c>
      <c r="W778" t="s">
        <v>105</v>
      </c>
      <c r="X778" t="s">
        <v>174</v>
      </c>
      <c r="Y778" t="s">
        <v>45</v>
      </c>
      <c r="Z778">
        <v>20</v>
      </c>
      <c r="AA778">
        <v>6</v>
      </c>
      <c r="AB778" t="s">
        <v>46</v>
      </c>
      <c r="AC778" t="s">
        <v>47</v>
      </c>
      <c r="AD778" t="s">
        <v>1992</v>
      </c>
      <c r="AE778" t="s">
        <v>1993</v>
      </c>
    </row>
    <row r="779" spans="1:31" x14ac:dyDescent="0.2">
      <c r="A779" t="s">
        <v>31</v>
      </c>
      <c r="B779" t="s">
        <v>1950</v>
      </c>
      <c r="C779">
        <v>22</v>
      </c>
      <c r="D779" s="1">
        <v>44112</v>
      </c>
      <c r="E779" t="s">
        <v>72</v>
      </c>
      <c r="F779" t="s">
        <v>1151</v>
      </c>
      <c r="G779" t="s">
        <v>968</v>
      </c>
      <c r="H779" t="s">
        <v>52</v>
      </c>
      <c r="I779" t="s">
        <v>968</v>
      </c>
      <c r="J779" t="s">
        <v>54</v>
      </c>
      <c r="K779">
        <v>201</v>
      </c>
      <c r="L779">
        <v>6</v>
      </c>
      <c r="M779">
        <v>132</v>
      </c>
      <c r="N779">
        <v>10</v>
      </c>
      <c r="O779" t="s">
        <v>968</v>
      </c>
      <c r="P779" t="s">
        <v>38</v>
      </c>
      <c r="Q779">
        <v>69</v>
      </c>
      <c r="R779">
        <v>0</v>
      </c>
      <c r="S779" t="s">
        <v>1838</v>
      </c>
      <c r="T779" t="s">
        <v>40</v>
      </c>
      <c r="U779" t="s">
        <v>146</v>
      </c>
      <c r="V779" t="s">
        <v>989</v>
      </c>
      <c r="W779" t="s">
        <v>1417</v>
      </c>
      <c r="X779" t="s">
        <v>1189</v>
      </c>
      <c r="Y779" t="s">
        <v>45</v>
      </c>
      <c r="Z779">
        <v>20</v>
      </c>
      <c r="AA779">
        <v>6</v>
      </c>
      <c r="AB779" t="s">
        <v>46</v>
      </c>
      <c r="AC779" t="s">
        <v>47</v>
      </c>
      <c r="AD779" t="s">
        <v>1994</v>
      </c>
      <c r="AE779" t="s">
        <v>1995</v>
      </c>
    </row>
    <row r="780" spans="1:31" x14ac:dyDescent="0.2">
      <c r="A780" t="s">
        <v>31</v>
      </c>
      <c r="B780" t="s">
        <v>1950</v>
      </c>
      <c r="C780">
        <v>23</v>
      </c>
      <c r="D780" s="1">
        <v>44113</v>
      </c>
      <c r="E780" t="s">
        <v>72</v>
      </c>
      <c r="F780" t="s">
        <v>1142</v>
      </c>
      <c r="G780" t="s">
        <v>1820</v>
      </c>
      <c r="H780" t="s">
        <v>66</v>
      </c>
      <c r="I780" t="s">
        <v>66</v>
      </c>
      <c r="J780" t="s">
        <v>37</v>
      </c>
      <c r="K780">
        <v>184</v>
      </c>
      <c r="L780">
        <v>8</v>
      </c>
      <c r="M780">
        <v>138</v>
      </c>
      <c r="N780">
        <v>10</v>
      </c>
      <c r="O780" t="s">
        <v>1820</v>
      </c>
      <c r="P780" t="s">
        <v>38</v>
      </c>
      <c r="Q780">
        <v>46</v>
      </c>
      <c r="R780">
        <v>0</v>
      </c>
      <c r="S780" t="s">
        <v>571</v>
      </c>
      <c r="T780" t="s">
        <v>1553</v>
      </c>
      <c r="U780" t="s">
        <v>463</v>
      </c>
      <c r="V780" t="s">
        <v>105</v>
      </c>
      <c r="W780" t="s">
        <v>642</v>
      </c>
      <c r="X780" t="s">
        <v>174</v>
      </c>
      <c r="Y780" t="s">
        <v>45</v>
      </c>
      <c r="Z780">
        <v>20</v>
      </c>
      <c r="AA780">
        <v>6</v>
      </c>
      <c r="AB780" t="s">
        <v>46</v>
      </c>
      <c r="AC780" t="s">
        <v>47</v>
      </c>
      <c r="AD780" t="s">
        <v>1996</v>
      </c>
      <c r="AE780" t="s">
        <v>1997</v>
      </c>
    </row>
    <row r="781" spans="1:31" x14ac:dyDescent="0.2">
      <c r="A781" t="s">
        <v>31</v>
      </c>
      <c r="B781" t="s">
        <v>1950</v>
      </c>
      <c r="C781">
        <v>24</v>
      </c>
      <c r="D781" s="1">
        <v>44114</v>
      </c>
      <c r="E781" t="s">
        <v>1137</v>
      </c>
      <c r="F781" t="s">
        <v>1138</v>
      </c>
      <c r="G781" t="s">
        <v>36</v>
      </c>
      <c r="H781" t="s">
        <v>52</v>
      </c>
      <c r="I781" t="s">
        <v>36</v>
      </c>
      <c r="J781" t="s">
        <v>54</v>
      </c>
      <c r="K781">
        <v>164</v>
      </c>
      <c r="L781">
        <v>6</v>
      </c>
      <c r="M781">
        <v>162</v>
      </c>
      <c r="N781">
        <v>5</v>
      </c>
      <c r="O781" t="s">
        <v>36</v>
      </c>
      <c r="P781" t="s">
        <v>38</v>
      </c>
      <c r="Q781">
        <v>2</v>
      </c>
      <c r="R781">
        <v>0</v>
      </c>
      <c r="S781" t="s">
        <v>237</v>
      </c>
      <c r="T781" t="s">
        <v>1279</v>
      </c>
      <c r="U781" t="s">
        <v>1210</v>
      </c>
      <c r="V781" t="s">
        <v>1283</v>
      </c>
      <c r="W781" t="s">
        <v>939</v>
      </c>
      <c r="X781" t="s">
        <v>791</v>
      </c>
      <c r="Y781" t="s">
        <v>45</v>
      </c>
      <c r="Z781">
        <v>20</v>
      </c>
      <c r="AA781">
        <v>6</v>
      </c>
      <c r="AB781" t="s">
        <v>46</v>
      </c>
      <c r="AC781" t="s">
        <v>47</v>
      </c>
      <c r="AD781" t="s">
        <v>1998</v>
      </c>
      <c r="AE781" t="s">
        <v>1999</v>
      </c>
    </row>
    <row r="782" spans="1:31" x14ac:dyDescent="0.2">
      <c r="A782" t="s">
        <v>31</v>
      </c>
      <c r="B782" t="s">
        <v>1950</v>
      </c>
      <c r="C782">
        <v>25</v>
      </c>
      <c r="D782" s="1">
        <v>44114</v>
      </c>
      <c r="E782" t="s">
        <v>72</v>
      </c>
      <c r="F782" t="s">
        <v>1151</v>
      </c>
      <c r="G782" t="s">
        <v>35</v>
      </c>
      <c r="H782" t="s">
        <v>53</v>
      </c>
      <c r="I782" t="s">
        <v>35</v>
      </c>
      <c r="J782" t="s">
        <v>54</v>
      </c>
      <c r="K782">
        <v>169</v>
      </c>
      <c r="L782">
        <v>4</v>
      </c>
      <c r="M782">
        <v>132</v>
      </c>
      <c r="N782">
        <v>8</v>
      </c>
      <c r="O782" t="s">
        <v>35</v>
      </c>
      <c r="P782" t="s">
        <v>38</v>
      </c>
      <c r="Q782">
        <v>37</v>
      </c>
      <c r="R782">
        <v>0</v>
      </c>
      <c r="S782" t="s">
        <v>678</v>
      </c>
      <c r="T782" t="s">
        <v>40</v>
      </c>
      <c r="U782" t="s">
        <v>146</v>
      </c>
      <c r="V782" t="s">
        <v>604</v>
      </c>
      <c r="W782" t="s">
        <v>1189</v>
      </c>
      <c r="X782" t="s">
        <v>1417</v>
      </c>
      <c r="Y782" t="s">
        <v>45</v>
      </c>
      <c r="Z782">
        <v>20</v>
      </c>
      <c r="AA782">
        <v>6</v>
      </c>
      <c r="AB782" t="s">
        <v>46</v>
      </c>
      <c r="AC782" t="s">
        <v>47</v>
      </c>
      <c r="AD782" t="s">
        <v>2000</v>
      </c>
      <c r="AE782" t="s">
        <v>2001</v>
      </c>
    </row>
    <row r="783" spans="1:31" x14ac:dyDescent="0.2">
      <c r="A783" t="s">
        <v>31</v>
      </c>
      <c r="B783" t="s">
        <v>1950</v>
      </c>
      <c r="C783">
        <v>26</v>
      </c>
      <c r="D783" s="1">
        <v>44115</v>
      </c>
      <c r="E783" t="s">
        <v>72</v>
      </c>
      <c r="F783" t="s">
        <v>1151</v>
      </c>
      <c r="G783" t="s">
        <v>968</v>
      </c>
      <c r="H783" t="s">
        <v>66</v>
      </c>
      <c r="I783" t="s">
        <v>968</v>
      </c>
      <c r="J783" t="s">
        <v>54</v>
      </c>
      <c r="K783">
        <v>158</v>
      </c>
      <c r="L783">
        <v>4</v>
      </c>
      <c r="M783">
        <v>163</v>
      </c>
      <c r="N783">
        <v>5</v>
      </c>
      <c r="O783" t="s">
        <v>66</v>
      </c>
      <c r="P783" t="s">
        <v>38</v>
      </c>
      <c r="Q783">
        <v>0</v>
      </c>
      <c r="R783">
        <v>5</v>
      </c>
      <c r="S783" t="s">
        <v>2002</v>
      </c>
      <c r="T783" t="s">
        <v>1772</v>
      </c>
      <c r="U783" t="s">
        <v>1417</v>
      </c>
      <c r="V783" t="s">
        <v>604</v>
      </c>
      <c r="W783" t="s">
        <v>989</v>
      </c>
      <c r="X783" t="s">
        <v>1189</v>
      </c>
      <c r="Y783" t="s">
        <v>45</v>
      </c>
      <c r="Z783">
        <v>20</v>
      </c>
      <c r="AA783">
        <v>6</v>
      </c>
      <c r="AB783" t="s">
        <v>46</v>
      </c>
      <c r="AC783" t="s">
        <v>47</v>
      </c>
      <c r="AD783" t="s">
        <v>2003</v>
      </c>
      <c r="AE783" t="s">
        <v>2004</v>
      </c>
    </row>
    <row r="784" spans="1:31" x14ac:dyDescent="0.2">
      <c r="A784" t="s">
        <v>31</v>
      </c>
      <c r="B784" t="s">
        <v>1950</v>
      </c>
      <c r="C784">
        <v>27</v>
      </c>
      <c r="D784" s="1">
        <v>44115</v>
      </c>
      <c r="E784" t="s">
        <v>1137</v>
      </c>
      <c r="F784" t="s">
        <v>1138</v>
      </c>
      <c r="G784" t="s">
        <v>1820</v>
      </c>
      <c r="H784" t="s">
        <v>87</v>
      </c>
      <c r="I784" t="s">
        <v>1820</v>
      </c>
      <c r="J784" t="s">
        <v>54</v>
      </c>
      <c r="K784">
        <v>162</v>
      </c>
      <c r="L784">
        <v>4</v>
      </c>
      <c r="M784">
        <v>166</v>
      </c>
      <c r="N784">
        <v>5</v>
      </c>
      <c r="O784" t="s">
        <v>87</v>
      </c>
      <c r="P784" t="s">
        <v>38</v>
      </c>
      <c r="Q784">
        <v>0</v>
      </c>
      <c r="R784">
        <v>5</v>
      </c>
      <c r="S784" t="s">
        <v>1434</v>
      </c>
      <c r="T784" t="s">
        <v>1965</v>
      </c>
      <c r="U784" t="s">
        <v>1283</v>
      </c>
      <c r="V784" t="s">
        <v>111</v>
      </c>
      <c r="W784" t="s">
        <v>939</v>
      </c>
      <c r="X784" t="s">
        <v>1210</v>
      </c>
      <c r="Y784" t="s">
        <v>45</v>
      </c>
      <c r="Z784">
        <v>20</v>
      </c>
      <c r="AA784">
        <v>6</v>
      </c>
      <c r="AB784" t="s">
        <v>46</v>
      </c>
      <c r="AC784" t="s">
        <v>47</v>
      </c>
      <c r="AD784" t="s">
        <v>2005</v>
      </c>
      <c r="AE784" t="s">
        <v>1971</v>
      </c>
    </row>
    <row r="785" spans="1:31" x14ac:dyDescent="0.2">
      <c r="A785" t="s">
        <v>31</v>
      </c>
      <c r="B785" t="s">
        <v>1950</v>
      </c>
      <c r="C785">
        <v>28</v>
      </c>
      <c r="D785" s="1">
        <v>44116</v>
      </c>
      <c r="E785" t="s">
        <v>72</v>
      </c>
      <c r="F785" t="s">
        <v>1142</v>
      </c>
      <c r="G785" t="s">
        <v>35</v>
      </c>
      <c r="H785" t="s">
        <v>36</v>
      </c>
      <c r="I785" t="s">
        <v>35</v>
      </c>
      <c r="J785" t="s">
        <v>54</v>
      </c>
      <c r="K785">
        <v>194</v>
      </c>
      <c r="L785">
        <v>2</v>
      </c>
      <c r="M785">
        <v>112</v>
      </c>
      <c r="N785">
        <v>9</v>
      </c>
      <c r="O785" t="s">
        <v>35</v>
      </c>
      <c r="P785" t="s">
        <v>38</v>
      </c>
      <c r="Q785">
        <v>82</v>
      </c>
      <c r="R785">
        <v>0</v>
      </c>
      <c r="S785" t="s">
        <v>300</v>
      </c>
      <c r="T785" t="s">
        <v>1553</v>
      </c>
      <c r="U785" t="s">
        <v>1139</v>
      </c>
      <c r="V785" t="s">
        <v>174</v>
      </c>
      <c r="W785" t="s">
        <v>463</v>
      </c>
      <c r="X785" t="s">
        <v>642</v>
      </c>
      <c r="Y785" t="s">
        <v>45</v>
      </c>
      <c r="Z785">
        <v>20</v>
      </c>
      <c r="AA785">
        <v>6</v>
      </c>
      <c r="AB785" t="s">
        <v>46</v>
      </c>
      <c r="AC785" t="s">
        <v>47</v>
      </c>
      <c r="AD785" t="s">
        <v>2006</v>
      </c>
      <c r="AE785" t="s">
        <v>2007</v>
      </c>
    </row>
    <row r="786" spans="1:31" x14ac:dyDescent="0.2">
      <c r="A786" t="s">
        <v>31</v>
      </c>
      <c r="B786" t="s">
        <v>1950</v>
      </c>
      <c r="C786">
        <v>29</v>
      </c>
      <c r="D786" s="1">
        <v>44117</v>
      </c>
      <c r="E786" t="s">
        <v>72</v>
      </c>
      <c r="F786" t="s">
        <v>1151</v>
      </c>
      <c r="G786" t="s">
        <v>53</v>
      </c>
      <c r="H786" t="s">
        <v>968</v>
      </c>
      <c r="I786" t="s">
        <v>53</v>
      </c>
      <c r="J786" t="s">
        <v>54</v>
      </c>
      <c r="K786">
        <v>167</v>
      </c>
      <c r="L786">
        <v>6</v>
      </c>
      <c r="M786">
        <v>147</v>
      </c>
      <c r="N786">
        <v>8</v>
      </c>
      <c r="O786" t="s">
        <v>53</v>
      </c>
      <c r="P786" t="s">
        <v>38</v>
      </c>
      <c r="Q786">
        <v>20</v>
      </c>
      <c r="R786">
        <v>0</v>
      </c>
      <c r="S786" t="s">
        <v>802</v>
      </c>
      <c r="T786" t="s">
        <v>40</v>
      </c>
      <c r="U786" t="s">
        <v>146</v>
      </c>
      <c r="V786" t="s">
        <v>604</v>
      </c>
      <c r="W786" t="s">
        <v>989</v>
      </c>
      <c r="X786" t="s">
        <v>1417</v>
      </c>
      <c r="Y786" t="s">
        <v>45</v>
      </c>
      <c r="Z786">
        <v>20</v>
      </c>
      <c r="AA786">
        <v>6</v>
      </c>
      <c r="AB786" t="s">
        <v>46</v>
      </c>
      <c r="AC786" t="s">
        <v>47</v>
      </c>
      <c r="AD786" t="s">
        <v>2008</v>
      </c>
      <c r="AE786" t="s">
        <v>2009</v>
      </c>
    </row>
    <row r="787" spans="1:31" x14ac:dyDescent="0.2">
      <c r="A787" t="s">
        <v>31</v>
      </c>
      <c r="B787" t="s">
        <v>1950</v>
      </c>
      <c r="C787">
        <v>30</v>
      </c>
      <c r="D787" s="1">
        <v>44118</v>
      </c>
      <c r="E787" t="s">
        <v>72</v>
      </c>
      <c r="F787" t="s">
        <v>1151</v>
      </c>
      <c r="G787" t="s">
        <v>1820</v>
      </c>
      <c r="H787" t="s">
        <v>66</v>
      </c>
      <c r="I787" t="s">
        <v>1820</v>
      </c>
      <c r="J787" t="s">
        <v>54</v>
      </c>
      <c r="K787">
        <v>161</v>
      </c>
      <c r="L787">
        <v>7</v>
      </c>
      <c r="M787">
        <v>148</v>
      </c>
      <c r="N787">
        <v>8</v>
      </c>
      <c r="O787" t="s">
        <v>1820</v>
      </c>
      <c r="P787" t="s">
        <v>38</v>
      </c>
      <c r="Q787">
        <v>13</v>
      </c>
      <c r="R787">
        <v>0</v>
      </c>
      <c r="S787" t="s">
        <v>2010</v>
      </c>
      <c r="T787" t="s">
        <v>40</v>
      </c>
      <c r="U787" t="s">
        <v>146</v>
      </c>
      <c r="V787" t="s">
        <v>989</v>
      </c>
      <c r="W787" t="s">
        <v>1189</v>
      </c>
      <c r="X787" t="s">
        <v>1417</v>
      </c>
      <c r="Y787" t="s">
        <v>45</v>
      </c>
      <c r="Z787">
        <v>20</v>
      </c>
      <c r="AA787">
        <v>6</v>
      </c>
      <c r="AB787" t="s">
        <v>46</v>
      </c>
      <c r="AC787" t="s">
        <v>47</v>
      </c>
      <c r="AD787" t="s">
        <v>2011</v>
      </c>
      <c r="AE787" t="s">
        <v>2004</v>
      </c>
    </row>
    <row r="788" spans="1:31" x14ac:dyDescent="0.2">
      <c r="A788" t="s">
        <v>31</v>
      </c>
      <c r="B788" t="s">
        <v>1950</v>
      </c>
      <c r="C788">
        <v>31</v>
      </c>
      <c r="D788" s="1">
        <v>44119</v>
      </c>
      <c r="E788" t="s">
        <v>72</v>
      </c>
      <c r="F788" t="s">
        <v>1142</v>
      </c>
      <c r="G788" t="s">
        <v>35</v>
      </c>
      <c r="H788" t="s">
        <v>52</v>
      </c>
      <c r="I788" t="s">
        <v>35</v>
      </c>
      <c r="J788" t="s">
        <v>54</v>
      </c>
      <c r="K788">
        <v>171</v>
      </c>
      <c r="L788">
        <v>6</v>
      </c>
      <c r="M788">
        <v>177</v>
      </c>
      <c r="N788">
        <v>2</v>
      </c>
      <c r="O788" t="s">
        <v>52</v>
      </c>
      <c r="P788" t="s">
        <v>38</v>
      </c>
      <c r="Q788">
        <v>0</v>
      </c>
      <c r="R788">
        <v>8</v>
      </c>
      <c r="S788" t="s">
        <v>1684</v>
      </c>
      <c r="T788" t="s">
        <v>1553</v>
      </c>
      <c r="U788" t="s">
        <v>463</v>
      </c>
      <c r="V788" t="s">
        <v>105</v>
      </c>
      <c r="W788" t="s">
        <v>1139</v>
      </c>
      <c r="X788" t="s">
        <v>174</v>
      </c>
      <c r="Y788" t="s">
        <v>45</v>
      </c>
      <c r="Z788">
        <v>20</v>
      </c>
      <c r="AA788">
        <v>6</v>
      </c>
      <c r="AB788" t="s">
        <v>46</v>
      </c>
      <c r="AC788" t="s">
        <v>47</v>
      </c>
      <c r="AD788" t="s">
        <v>2012</v>
      </c>
      <c r="AE788" t="s">
        <v>2013</v>
      </c>
    </row>
    <row r="789" spans="1:31" x14ac:dyDescent="0.2">
      <c r="A789" t="s">
        <v>31</v>
      </c>
      <c r="B789" t="s">
        <v>1950</v>
      </c>
      <c r="C789">
        <v>32</v>
      </c>
      <c r="D789" s="1">
        <v>44120</v>
      </c>
      <c r="E789" t="s">
        <v>1137</v>
      </c>
      <c r="F789" t="s">
        <v>1138</v>
      </c>
      <c r="G789" t="s">
        <v>36</v>
      </c>
      <c r="H789" t="s">
        <v>87</v>
      </c>
      <c r="I789" t="s">
        <v>36</v>
      </c>
      <c r="J789" t="s">
        <v>54</v>
      </c>
      <c r="K789">
        <v>148</v>
      </c>
      <c r="L789">
        <v>5</v>
      </c>
      <c r="M789">
        <v>149</v>
      </c>
      <c r="N789">
        <v>2</v>
      </c>
      <c r="O789" t="s">
        <v>87</v>
      </c>
      <c r="P789" t="s">
        <v>38</v>
      </c>
      <c r="Q789">
        <v>0</v>
      </c>
      <c r="R789">
        <v>8</v>
      </c>
      <c r="S789" t="s">
        <v>1434</v>
      </c>
      <c r="T789" t="s">
        <v>1279</v>
      </c>
      <c r="U789" t="s">
        <v>1283</v>
      </c>
      <c r="V789" t="s">
        <v>939</v>
      </c>
      <c r="W789" t="s">
        <v>111</v>
      </c>
      <c r="X789" t="s">
        <v>791</v>
      </c>
      <c r="Y789" t="s">
        <v>45</v>
      </c>
      <c r="Z789">
        <v>20</v>
      </c>
      <c r="AA789">
        <v>6</v>
      </c>
      <c r="AB789" t="s">
        <v>46</v>
      </c>
      <c r="AC789" t="s">
        <v>47</v>
      </c>
      <c r="AD789" t="s">
        <v>2014</v>
      </c>
      <c r="AE789" t="s">
        <v>2015</v>
      </c>
    </row>
    <row r="790" spans="1:31" x14ac:dyDescent="0.2">
      <c r="A790" t="s">
        <v>31</v>
      </c>
      <c r="B790" t="s">
        <v>1950</v>
      </c>
      <c r="C790">
        <v>33</v>
      </c>
      <c r="D790" s="1">
        <v>44121</v>
      </c>
      <c r="E790" t="s">
        <v>72</v>
      </c>
      <c r="F790" t="s">
        <v>1151</v>
      </c>
      <c r="G790" t="s">
        <v>66</v>
      </c>
      <c r="H790" t="s">
        <v>35</v>
      </c>
      <c r="I790" t="s">
        <v>66</v>
      </c>
      <c r="J790" t="s">
        <v>54</v>
      </c>
      <c r="K790">
        <v>177</v>
      </c>
      <c r="L790">
        <v>6</v>
      </c>
      <c r="M790">
        <v>179</v>
      </c>
      <c r="N790">
        <v>3</v>
      </c>
      <c r="O790" t="s">
        <v>35</v>
      </c>
      <c r="P790" t="s">
        <v>38</v>
      </c>
      <c r="Q790">
        <v>0</v>
      </c>
      <c r="R790">
        <v>7</v>
      </c>
      <c r="S790" t="s">
        <v>300</v>
      </c>
      <c r="T790" t="s">
        <v>40</v>
      </c>
      <c r="U790" t="s">
        <v>146</v>
      </c>
      <c r="V790" t="s">
        <v>989</v>
      </c>
      <c r="W790" t="s">
        <v>604</v>
      </c>
      <c r="X790" t="s">
        <v>1417</v>
      </c>
      <c r="Y790" t="s">
        <v>45</v>
      </c>
      <c r="Z790">
        <v>20</v>
      </c>
      <c r="AA790">
        <v>6</v>
      </c>
      <c r="AB790" t="s">
        <v>46</v>
      </c>
      <c r="AC790" t="s">
        <v>47</v>
      </c>
      <c r="AD790" t="s">
        <v>2016</v>
      </c>
      <c r="AE790" t="s">
        <v>2017</v>
      </c>
    </row>
    <row r="791" spans="1:31" x14ac:dyDescent="0.2">
      <c r="A791" t="s">
        <v>31</v>
      </c>
      <c r="B791" t="s">
        <v>1950</v>
      </c>
      <c r="C791">
        <v>34</v>
      </c>
      <c r="D791" s="1">
        <v>44121</v>
      </c>
      <c r="E791" t="s">
        <v>72</v>
      </c>
      <c r="F791" t="s">
        <v>1142</v>
      </c>
      <c r="G791" t="s">
        <v>53</v>
      </c>
      <c r="H791" t="s">
        <v>1820</v>
      </c>
      <c r="I791" t="s">
        <v>53</v>
      </c>
      <c r="J791" t="s">
        <v>54</v>
      </c>
      <c r="K791">
        <v>179</v>
      </c>
      <c r="L791">
        <v>4</v>
      </c>
      <c r="M791">
        <v>185</v>
      </c>
      <c r="N791">
        <v>5</v>
      </c>
      <c r="O791" t="s">
        <v>1820</v>
      </c>
      <c r="P791" t="s">
        <v>38</v>
      </c>
      <c r="Q791">
        <v>0</v>
      </c>
      <c r="R791">
        <v>5</v>
      </c>
      <c r="S791" t="s">
        <v>763</v>
      </c>
      <c r="T791" t="s">
        <v>1553</v>
      </c>
      <c r="U791" t="s">
        <v>463</v>
      </c>
      <c r="V791" t="s">
        <v>1139</v>
      </c>
      <c r="W791" t="s">
        <v>105</v>
      </c>
      <c r="X791" t="s">
        <v>642</v>
      </c>
      <c r="Y791" t="s">
        <v>45</v>
      </c>
      <c r="Z791">
        <v>20</v>
      </c>
      <c r="AA791">
        <v>6</v>
      </c>
      <c r="AB791" t="s">
        <v>46</v>
      </c>
      <c r="AC791" t="s">
        <v>47</v>
      </c>
      <c r="AD791" t="s">
        <v>2018</v>
      </c>
      <c r="AE791" t="s">
        <v>2011</v>
      </c>
    </row>
    <row r="792" spans="1:31" x14ac:dyDescent="0.2">
      <c r="A792" t="s">
        <v>31</v>
      </c>
      <c r="B792" t="s">
        <v>1950</v>
      </c>
      <c r="C792">
        <v>35</v>
      </c>
      <c r="D792" s="1">
        <v>44122</v>
      </c>
      <c r="E792" t="s">
        <v>1137</v>
      </c>
      <c r="F792" t="s">
        <v>1138</v>
      </c>
      <c r="G792" t="s">
        <v>36</v>
      </c>
      <c r="H792" t="s">
        <v>968</v>
      </c>
      <c r="I792" t="s">
        <v>968</v>
      </c>
      <c r="J792" t="s">
        <v>37</v>
      </c>
      <c r="K792">
        <v>166</v>
      </c>
      <c r="L792">
        <v>5</v>
      </c>
      <c r="M792">
        <v>165</v>
      </c>
      <c r="N792">
        <v>8</v>
      </c>
      <c r="O792" t="s">
        <v>304</v>
      </c>
      <c r="P792" t="s">
        <v>305</v>
      </c>
      <c r="Q792">
        <v>0</v>
      </c>
      <c r="R792">
        <v>0</v>
      </c>
      <c r="S792" t="s">
        <v>1621</v>
      </c>
      <c r="T792" t="s">
        <v>1279</v>
      </c>
      <c r="U792" t="s">
        <v>791</v>
      </c>
      <c r="V792" t="s">
        <v>111</v>
      </c>
      <c r="W792" t="s">
        <v>939</v>
      </c>
      <c r="X792" t="s">
        <v>1210</v>
      </c>
      <c r="Y792" t="s">
        <v>45</v>
      </c>
      <c r="Z792">
        <v>20</v>
      </c>
      <c r="AA792">
        <v>6</v>
      </c>
      <c r="AB792" t="s">
        <v>46</v>
      </c>
      <c r="AC792" t="s">
        <v>47</v>
      </c>
      <c r="AD792" t="s">
        <v>2019</v>
      </c>
      <c r="AE792" t="s">
        <v>2020</v>
      </c>
    </row>
    <row r="793" spans="1:31" x14ac:dyDescent="0.2">
      <c r="A793" t="s">
        <v>31</v>
      </c>
      <c r="B793" t="s">
        <v>1950</v>
      </c>
      <c r="C793">
        <v>36</v>
      </c>
      <c r="D793" s="1">
        <v>44122</v>
      </c>
      <c r="E793" t="s">
        <v>72</v>
      </c>
      <c r="F793" t="s">
        <v>1151</v>
      </c>
      <c r="G793" t="s">
        <v>87</v>
      </c>
      <c r="H793" t="s">
        <v>52</v>
      </c>
      <c r="I793" t="s">
        <v>87</v>
      </c>
      <c r="J793" t="s">
        <v>54</v>
      </c>
      <c r="K793">
        <v>192</v>
      </c>
      <c r="L793">
        <v>8</v>
      </c>
      <c r="M793">
        <v>196</v>
      </c>
      <c r="N793">
        <v>8</v>
      </c>
      <c r="O793" t="s">
        <v>304</v>
      </c>
      <c r="P793" t="s">
        <v>305</v>
      </c>
      <c r="Q793">
        <v>0</v>
      </c>
      <c r="R793">
        <v>0</v>
      </c>
      <c r="S793" t="s">
        <v>1684</v>
      </c>
      <c r="T793" t="s">
        <v>40</v>
      </c>
      <c r="U793" t="s">
        <v>989</v>
      </c>
      <c r="V793" t="s">
        <v>604</v>
      </c>
      <c r="W793" t="s">
        <v>146</v>
      </c>
      <c r="X793" t="s">
        <v>1189</v>
      </c>
      <c r="Y793" t="s">
        <v>45</v>
      </c>
      <c r="Z793">
        <v>20</v>
      </c>
      <c r="AA793">
        <v>6</v>
      </c>
      <c r="AB793" t="s">
        <v>46</v>
      </c>
      <c r="AC793" t="s">
        <v>47</v>
      </c>
      <c r="AD793" t="s">
        <v>2021</v>
      </c>
      <c r="AE793" t="s">
        <v>2013</v>
      </c>
    </row>
    <row r="794" spans="1:31" x14ac:dyDescent="0.2">
      <c r="A794" t="s">
        <v>31</v>
      </c>
      <c r="B794" t="s">
        <v>1950</v>
      </c>
      <c r="C794">
        <v>37</v>
      </c>
      <c r="D794" s="1">
        <v>44123</v>
      </c>
      <c r="E794" t="s">
        <v>1137</v>
      </c>
      <c r="F794" t="s">
        <v>1138</v>
      </c>
      <c r="G794" t="s">
        <v>53</v>
      </c>
      <c r="H794" t="s">
        <v>66</v>
      </c>
      <c r="I794" t="s">
        <v>53</v>
      </c>
      <c r="J794" t="s">
        <v>54</v>
      </c>
      <c r="K794">
        <v>125</v>
      </c>
      <c r="L794">
        <v>5</v>
      </c>
      <c r="M794">
        <v>126</v>
      </c>
      <c r="N794">
        <v>3</v>
      </c>
      <c r="O794" t="s">
        <v>66</v>
      </c>
      <c r="P794" t="s">
        <v>38</v>
      </c>
      <c r="Q794">
        <v>0</v>
      </c>
      <c r="R794">
        <v>7</v>
      </c>
      <c r="S794" t="s">
        <v>1599</v>
      </c>
      <c r="T794" t="s">
        <v>1279</v>
      </c>
      <c r="U794" t="s">
        <v>1283</v>
      </c>
      <c r="V794" t="s">
        <v>939</v>
      </c>
      <c r="W794" t="s">
        <v>1210</v>
      </c>
      <c r="X794" t="s">
        <v>791</v>
      </c>
      <c r="Y794" t="s">
        <v>45</v>
      </c>
      <c r="Z794">
        <v>20</v>
      </c>
      <c r="AA794">
        <v>6</v>
      </c>
      <c r="AB794" t="s">
        <v>46</v>
      </c>
      <c r="AC794" t="s">
        <v>47</v>
      </c>
      <c r="AD794" t="s">
        <v>2022</v>
      </c>
      <c r="AE794" t="s">
        <v>2023</v>
      </c>
    </row>
    <row r="795" spans="1:31" x14ac:dyDescent="0.2">
      <c r="A795" t="s">
        <v>31</v>
      </c>
      <c r="B795" t="s">
        <v>1950</v>
      </c>
      <c r="C795">
        <v>38</v>
      </c>
      <c r="D795" s="1">
        <v>44124</v>
      </c>
      <c r="E795" t="s">
        <v>72</v>
      </c>
      <c r="F795" t="s">
        <v>1151</v>
      </c>
      <c r="G795" t="s">
        <v>1820</v>
      </c>
      <c r="H795" t="s">
        <v>52</v>
      </c>
      <c r="I795" t="s">
        <v>1820</v>
      </c>
      <c r="J795" t="s">
        <v>54</v>
      </c>
      <c r="K795">
        <v>164</v>
      </c>
      <c r="L795">
        <v>5</v>
      </c>
      <c r="M795">
        <v>167</v>
      </c>
      <c r="N795">
        <v>5</v>
      </c>
      <c r="O795" t="s">
        <v>52</v>
      </c>
      <c r="P795" t="s">
        <v>38</v>
      </c>
      <c r="Q795">
        <v>0</v>
      </c>
      <c r="R795">
        <v>5</v>
      </c>
      <c r="S795" t="s">
        <v>763</v>
      </c>
      <c r="T795" t="s">
        <v>1772</v>
      </c>
      <c r="U795" t="s">
        <v>105</v>
      </c>
      <c r="V795" t="s">
        <v>1139</v>
      </c>
      <c r="W795" t="s">
        <v>463</v>
      </c>
      <c r="X795" t="s">
        <v>174</v>
      </c>
      <c r="Y795" t="s">
        <v>45</v>
      </c>
      <c r="Z795">
        <v>20</v>
      </c>
      <c r="AA795">
        <v>6</v>
      </c>
      <c r="AB795" t="s">
        <v>46</v>
      </c>
      <c r="AC795" t="s">
        <v>47</v>
      </c>
      <c r="AD795" t="s">
        <v>2024</v>
      </c>
      <c r="AE795" t="s">
        <v>2025</v>
      </c>
    </row>
    <row r="796" spans="1:31" x14ac:dyDescent="0.2">
      <c r="A796" t="s">
        <v>31</v>
      </c>
      <c r="B796" t="s">
        <v>1950</v>
      </c>
      <c r="C796">
        <v>39</v>
      </c>
      <c r="D796" s="1">
        <v>44125</v>
      </c>
      <c r="E796" t="s">
        <v>1137</v>
      </c>
      <c r="F796" t="s">
        <v>1138</v>
      </c>
      <c r="G796" t="s">
        <v>36</v>
      </c>
      <c r="H796" t="s">
        <v>35</v>
      </c>
      <c r="I796" t="s">
        <v>36</v>
      </c>
      <c r="J796" t="s">
        <v>54</v>
      </c>
      <c r="K796">
        <v>84</v>
      </c>
      <c r="L796">
        <v>8</v>
      </c>
      <c r="M796">
        <v>85</v>
      </c>
      <c r="N796">
        <v>2</v>
      </c>
      <c r="O796" t="s">
        <v>35</v>
      </c>
      <c r="P796" t="s">
        <v>38</v>
      </c>
      <c r="Q796">
        <v>0</v>
      </c>
      <c r="R796">
        <v>8</v>
      </c>
      <c r="S796" t="s">
        <v>1661</v>
      </c>
      <c r="T796" t="s">
        <v>1965</v>
      </c>
      <c r="U796" t="s">
        <v>939</v>
      </c>
      <c r="V796" t="s">
        <v>111</v>
      </c>
      <c r="W796" t="s">
        <v>1283</v>
      </c>
      <c r="X796" t="s">
        <v>1210</v>
      </c>
      <c r="Y796" t="s">
        <v>45</v>
      </c>
      <c r="Z796">
        <v>20</v>
      </c>
      <c r="AA796">
        <v>6</v>
      </c>
      <c r="AB796" t="s">
        <v>46</v>
      </c>
      <c r="AC796" t="s">
        <v>47</v>
      </c>
      <c r="AD796" t="s">
        <v>2026</v>
      </c>
      <c r="AE796" t="s">
        <v>2027</v>
      </c>
    </row>
    <row r="797" spans="1:31" x14ac:dyDescent="0.2">
      <c r="A797" t="s">
        <v>31</v>
      </c>
      <c r="B797" t="s">
        <v>1950</v>
      </c>
      <c r="C797">
        <v>40</v>
      </c>
      <c r="D797" s="1">
        <v>44126</v>
      </c>
      <c r="E797" t="s">
        <v>72</v>
      </c>
      <c r="F797" t="s">
        <v>1151</v>
      </c>
      <c r="G797" t="s">
        <v>66</v>
      </c>
      <c r="H797" t="s">
        <v>968</v>
      </c>
      <c r="I797" t="s">
        <v>968</v>
      </c>
      <c r="J797" t="s">
        <v>37</v>
      </c>
      <c r="K797">
        <v>154</v>
      </c>
      <c r="L797">
        <v>6</v>
      </c>
      <c r="M797">
        <v>156</v>
      </c>
      <c r="N797">
        <v>2</v>
      </c>
      <c r="O797" t="s">
        <v>968</v>
      </c>
      <c r="P797" t="s">
        <v>38</v>
      </c>
      <c r="Q797">
        <v>0</v>
      </c>
      <c r="R797">
        <v>8</v>
      </c>
      <c r="S797" t="s">
        <v>429</v>
      </c>
      <c r="T797" t="s">
        <v>40</v>
      </c>
      <c r="U797" t="s">
        <v>989</v>
      </c>
      <c r="V797" t="s">
        <v>604</v>
      </c>
      <c r="W797" t="s">
        <v>146</v>
      </c>
      <c r="X797" t="s">
        <v>1189</v>
      </c>
      <c r="Y797" t="s">
        <v>45</v>
      </c>
      <c r="Z797">
        <v>20</v>
      </c>
      <c r="AA797">
        <v>6</v>
      </c>
      <c r="AB797" t="s">
        <v>46</v>
      </c>
      <c r="AC797" t="s">
        <v>47</v>
      </c>
      <c r="AD797" t="s">
        <v>2028</v>
      </c>
      <c r="AE797" t="s">
        <v>2029</v>
      </c>
    </row>
    <row r="798" spans="1:31" x14ac:dyDescent="0.2">
      <c r="A798" t="s">
        <v>31</v>
      </c>
      <c r="B798" t="s">
        <v>1950</v>
      </c>
      <c r="C798">
        <v>41</v>
      </c>
      <c r="D798" s="1">
        <v>44127</v>
      </c>
      <c r="E798" t="s">
        <v>72</v>
      </c>
      <c r="F798" t="s">
        <v>1142</v>
      </c>
      <c r="G798" t="s">
        <v>53</v>
      </c>
      <c r="H798" t="s">
        <v>87</v>
      </c>
      <c r="I798" t="s">
        <v>87</v>
      </c>
      <c r="J798" t="s">
        <v>37</v>
      </c>
      <c r="K798">
        <v>114</v>
      </c>
      <c r="L798">
        <v>9</v>
      </c>
      <c r="M798">
        <v>116</v>
      </c>
      <c r="N798">
        <v>0</v>
      </c>
      <c r="O798" t="s">
        <v>87</v>
      </c>
      <c r="P798" t="s">
        <v>38</v>
      </c>
      <c r="Q798">
        <v>0</v>
      </c>
      <c r="R798">
        <v>10</v>
      </c>
      <c r="S798" t="s">
        <v>1335</v>
      </c>
      <c r="T798" t="s">
        <v>1553</v>
      </c>
      <c r="U798" t="s">
        <v>105</v>
      </c>
      <c r="V798" t="s">
        <v>642</v>
      </c>
      <c r="W798" t="s">
        <v>1139</v>
      </c>
      <c r="X798" t="s">
        <v>174</v>
      </c>
      <c r="Y798" t="s">
        <v>45</v>
      </c>
      <c r="Z798">
        <v>20</v>
      </c>
      <c r="AA798">
        <v>6</v>
      </c>
      <c r="AB798" t="s">
        <v>46</v>
      </c>
      <c r="AC798" t="s">
        <v>47</v>
      </c>
      <c r="AD798" t="s">
        <v>2030</v>
      </c>
      <c r="AE798" t="s">
        <v>2031</v>
      </c>
    </row>
    <row r="799" spans="1:31" x14ac:dyDescent="0.2">
      <c r="A799" t="s">
        <v>31</v>
      </c>
      <c r="B799" t="s">
        <v>1950</v>
      </c>
      <c r="C799">
        <v>42</v>
      </c>
      <c r="D799" s="1">
        <v>44128</v>
      </c>
      <c r="E799" t="s">
        <v>1137</v>
      </c>
      <c r="F799" t="s">
        <v>1138</v>
      </c>
      <c r="G799" t="s">
        <v>36</v>
      </c>
      <c r="H799" t="s">
        <v>1820</v>
      </c>
      <c r="I799" t="s">
        <v>1820</v>
      </c>
      <c r="J799" t="s">
        <v>37</v>
      </c>
      <c r="K799">
        <v>194</v>
      </c>
      <c r="L799">
        <v>6</v>
      </c>
      <c r="M799">
        <v>135</v>
      </c>
      <c r="N799">
        <v>9</v>
      </c>
      <c r="O799" t="s">
        <v>36</v>
      </c>
      <c r="P799" t="s">
        <v>38</v>
      </c>
      <c r="Q799">
        <v>59</v>
      </c>
      <c r="R799">
        <v>0</v>
      </c>
      <c r="S799" t="s">
        <v>2032</v>
      </c>
      <c r="T799" t="s">
        <v>1279</v>
      </c>
      <c r="U799" t="s">
        <v>1283</v>
      </c>
      <c r="V799" t="s">
        <v>791</v>
      </c>
      <c r="W799" t="s">
        <v>111</v>
      </c>
      <c r="X799" t="s">
        <v>1210</v>
      </c>
      <c r="Y799" t="s">
        <v>45</v>
      </c>
      <c r="Z799">
        <v>20</v>
      </c>
      <c r="AA799">
        <v>6</v>
      </c>
      <c r="AB799" t="s">
        <v>46</v>
      </c>
      <c r="AC799" t="s">
        <v>47</v>
      </c>
      <c r="AD799" t="s">
        <v>2033</v>
      </c>
      <c r="AE799" t="s">
        <v>2034</v>
      </c>
    </row>
    <row r="800" spans="1:31" x14ac:dyDescent="0.2">
      <c r="A800" t="s">
        <v>31</v>
      </c>
      <c r="B800" t="s">
        <v>1950</v>
      </c>
      <c r="C800">
        <v>43</v>
      </c>
      <c r="D800" s="1">
        <v>44128</v>
      </c>
      <c r="E800" t="s">
        <v>72</v>
      </c>
      <c r="F800" t="s">
        <v>1151</v>
      </c>
      <c r="G800" t="s">
        <v>52</v>
      </c>
      <c r="H800" t="s">
        <v>968</v>
      </c>
      <c r="I800" t="s">
        <v>968</v>
      </c>
      <c r="J800" t="s">
        <v>37</v>
      </c>
      <c r="K800">
        <v>126</v>
      </c>
      <c r="L800">
        <v>7</v>
      </c>
      <c r="M800">
        <v>114</v>
      </c>
      <c r="N800">
        <v>10</v>
      </c>
      <c r="O800" t="s">
        <v>52</v>
      </c>
      <c r="P800" t="s">
        <v>38</v>
      </c>
      <c r="Q800">
        <v>12</v>
      </c>
      <c r="R800">
        <v>0</v>
      </c>
      <c r="S800" t="s">
        <v>2035</v>
      </c>
      <c r="T800" t="s">
        <v>40</v>
      </c>
      <c r="U800" t="s">
        <v>1189</v>
      </c>
      <c r="V800" t="s">
        <v>604</v>
      </c>
      <c r="W800" t="s">
        <v>989</v>
      </c>
      <c r="X800" t="s">
        <v>1417</v>
      </c>
      <c r="Y800" t="s">
        <v>45</v>
      </c>
      <c r="Z800">
        <v>20</v>
      </c>
      <c r="AA800">
        <v>6</v>
      </c>
      <c r="AB800" t="s">
        <v>46</v>
      </c>
      <c r="AC800" t="s">
        <v>47</v>
      </c>
      <c r="AD800" t="s">
        <v>2036</v>
      </c>
      <c r="AE800" t="s">
        <v>2037</v>
      </c>
    </row>
    <row r="801" spans="1:31" x14ac:dyDescent="0.2">
      <c r="A801" t="s">
        <v>31</v>
      </c>
      <c r="B801" t="s">
        <v>1950</v>
      </c>
      <c r="C801">
        <v>44</v>
      </c>
      <c r="D801" s="1">
        <v>44129</v>
      </c>
      <c r="E801" t="s">
        <v>72</v>
      </c>
      <c r="F801" t="s">
        <v>1151</v>
      </c>
      <c r="G801" t="s">
        <v>35</v>
      </c>
      <c r="H801" t="s">
        <v>53</v>
      </c>
      <c r="I801" t="s">
        <v>35</v>
      </c>
      <c r="J801" t="s">
        <v>54</v>
      </c>
      <c r="K801">
        <v>145</v>
      </c>
      <c r="L801">
        <v>6</v>
      </c>
      <c r="M801">
        <v>150</v>
      </c>
      <c r="N801">
        <v>2</v>
      </c>
      <c r="O801" t="s">
        <v>53</v>
      </c>
      <c r="P801" t="s">
        <v>38</v>
      </c>
      <c r="Q801">
        <v>0</v>
      </c>
      <c r="R801">
        <v>8</v>
      </c>
      <c r="S801" t="s">
        <v>2038</v>
      </c>
      <c r="T801" t="s">
        <v>1772</v>
      </c>
      <c r="U801" t="s">
        <v>105</v>
      </c>
      <c r="V801" t="s">
        <v>1139</v>
      </c>
      <c r="W801" t="s">
        <v>463</v>
      </c>
      <c r="X801" t="s">
        <v>642</v>
      </c>
      <c r="Y801" t="s">
        <v>45</v>
      </c>
      <c r="Z801">
        <v>20</v>
      </c>
      <c r="AA801">
        <v>6</v>
      </c>
      <c r="AB801" t="s">
        <v>46</v>
      </c>
      <c r="AC801" t="s">
        <v>47</v>
      </c>
      <c r="AD801" t="s">
        <v>2039</v>
      </c>
      <c r="AE801" t="s">
        <v>2040</v>
      </c>
    </row>
    <row r="802" spans="1:31" x14ac:dyDescent="0.2">
      <c r="A802" t="s">
        <v>31</v>
      </c>
      <c r="B802" t="s">
        <v>1950</v>
      </c>
      <c r="C802">
        <v>45</v>
      </c>
      <c r="D802" s="1">
        <v>44129</v>
      </c>
      <c r="E802" t="s">
        <v>1137</v>
      </c>
      <c r="F802" t="s">
        <v>1138</v>
      </c>
      <c r="G802" t="s">
        <v>87</v>
      </c>
      <c r="H802" t="s">
        <v>66</v>
      </c>
      <c r="I802" t="s">
        <v>87</v>
      </c>
      <c r="J802" t="s">
        <v>54</v>
      </c>
      <c r="K802">
        <v>195</v>
      </c>
      <c r="L802">
        <v>5</v>
      </c>
      <c r="M802">
        <v>196</v>
      </c>
      <c r="N802">
        <v>2</v>
      </c>
      <c r="O802" t="s">
        <v>66</v>
      </c>
      <c r="P802" t="s">
        <v>38</v>
      </c>
      <c r="Q802">
        <v>0</v>
      </c>
      <c r="R802">
        <v>8</v>
      </c>
      <c r="S802" t="s">
        <v>1587</v>
      </c>
      <c r="T802" t="s">
        <v>1965</v>
      </c>
      <c r="U802" t="s">
        <v>1210</v>
      </c>
      <c r="V802" t="s">
        <v>939</v>
      </c>
      <c r="W802" t="s">
        <v>111</v>
      </c>
      <c r="X802" t="s">
        <v>791</v>
      </c>
      <c r="Y802" t="s">
        <v>45</v>
      </c>
      <c r="Z802">
        <v>20</v>
      </c>
      <c r="AA802">
        <v>6</v>
      </c>
      <c r="AB802" t="s">
        <v>46</v>
      </c>
      <c r="AC802" t="s">
        <v>47</v>
      </c>
      <c r="AD802" t="s">
        <v>2041</v>
      </c>
      <c r="AE802" t="s">
        <v>2042</v>
      </c>
    </row>
    <row r="803" spans="1:31" x14ac:dyDescent="0.2">
      <c r="A803" t="s">
        <v>31</v>
      </c>
      <c r="B803" t="s">
        <v>1950</v>
      </c>
      <c r="C803">
        <v>46</v>
      </c>
      <c r="D803" s="1">
        <v>44130</v>
      </c>
      <c r="E803" t="s">
        <v>72</v>
      </c>
      <c r="F803" t="s">
        <v>1142</v>
      </c>
      <c r="G803" t="s">
        <v>36</v>
      </c>
      <c r="H803" t="s">
        <v>52</v>
      </c>
      <c r="I803" t="s">
        <v>52</v>
      </c>
      <c r="J803" t="s">
        <v>37</v>
      </c>
      <c r="K803">
        <v>149</v>
      </c>
      <c r="L803">
        <v>9</v>
      </c>
      <c r="M803">
        <v>150</v>
      </c>
      <c r="N803">
        <v>2</v>
      </c>
      <c r="O803" t="s">
        <v>52</v>
      </c>
      <c r="P803" t="s">
        <v>38</v>
      </c>
      <c r="Q803">
        <v>0</v>
      </c>
      <c r="R803">
        <v>8</v>
      </c>
      <c r="S803" t="s">
        <v>292</v>
      </c>
      <c r="T803" t="s">
        <v>1553</v>
      </c>
      <c r="U803" t="s">
        <v>463</v>
      </c>
      <c r="V803" t="s">
        <v>1139</v>
      </c>
      <c r="W803" t="s">
        <v>174</v>
      </c>
      <c r="X803" t="s">
        <v>642</v>
      </c>
      <c r="Y803" t="s">
        <v>45</v>
      </c>
      <c r="Z803">
        <v>20</v>
      </c>
      <c r="AA803">
        <v>6</v>
      </c>
      <c r="AB803" t="s">
        <v>46</v>
      </c>
      <c r="AC803" t="s">
        <v>47</v>
      </c>
      <c r="AD803" t="s">
        <v>2043</v>
      </c>
      <c r="AE803" t="s">
        <v>2036</v>
      </c>
    </row>
    <row r="804" spans="1:31" x14ac:dyDescent="0.2">
      <c r="A804" t="s">
        <v>31</v>
      </c>
      <c r="B804" t="s">
        <v>1950</v>
      </c>
      <c r="C804">
        <v>47</v>
      </c>
      <c r="D804" s="1">
        <v>44131</v>
      </c>
      <c r="E804" t="s">
        <v>72</v>
      </c>
      <c r="F804" t="s">
        <v>1151</v>
      </c>
      <c r="G804" t="s">
        <v>968</v>
      </c>
      <c r="H804" t="s">
        <v>1820</v>
      </c>
      <c r="I804" t="s">
        <v>1820</v>
      </c>
      <c r="J804" t="s">
        <v>37</v>
      </c>
      <c r="K804">
        <v>219</v>
      </c>
      <c r="L804">
        <v>2</v>
      </c>
      <c r="M804">
        <v>131</v>
      </c>
      <c r="N804">
        <v>10</v>
      </c>
      <c r="O804" t="s">
        <v>968</v>
      </c>
      <c r="P804" t="s">
        <v>38</v>
      </c>
      <c r="Q804">
        <v>88</v>
      </c>
      <c r="R804">
        <v>0</v>
      </c>
      <c r="S804" t="s">
        <v>756</v>
      </c>
      <c r="T804" t="s">
        <v>40</v>
      </c>
      <c r="U804" t="s">
        <v>146</v>
      </c>
      <c r="V804" t="s">
        <v>989</v>
      </c>
      <c r="W804" t="s">
        <v>604</v>
      </c>
      <c r="X804" t="s">
        <v>1189</v>
      </c>
      <c r="Y804" t="s">
        <v>45</v>
      </c>
      <c r="Z804">
        <v>20</v>
      </c>
      <c r="AA804">
        <v>6</v>
      </c>
      <c r="AB804" t="s">
        <v>46</v>
      </c>
      <c r="AC804" t="s">
        <v>47</v>
      </c>
      <c r="AD804" t="s">
        <v>2044</v>
      </c>
      <c r="AE804" t="s">
        <v>2045</v>
      </c>
    </row>
    <row r="805" spans="1:31" x14ac:dyDescent="0.2">
      <c r="A805" t="s">
        <v>31</v>
      </c>
      <c r="B805" t="s">
        <v>1950</v>
      </c>
      <c r="C805">
        <v>48</v>
      </c>
      <c r="D805" s="1">
        <v>44132</v>
      </c>
      <c r="E805" t="s">
        <v>1137</v>
      </c>
      <c r="F805" t="s">
        <v>1138</v>
      </c>
      <c r="G805" t="s">
        <v>35</v>
      </c>
      <c r="H805" t="s">
        <v>87</v>
      </c>
      <c r="I805" t="s">
        <v>87</v>
      </c>
      <c r="J805" t="s">
        <v>37</v>
      </c>
      <c r="K805">
        <v>164</v>
      </c>
      <c r="L805">
        <v>6</v>
      </c>
      <c r="M805">
        <v>166</v>
      </c>
      <c r="N805">
        <v>5</v>
      </c>
      <c r="O805" t="s">
        <v>87</v>
      </c>
      <c r="P805" t="s">
        <v>38</v>
      </c>
      <c r="Q805">
        <v>0</v>
      </c>
      <c r="R805">
        <v>5</v>
      </c>
      <c r="S805" t="s">
        <v>1455</v>
      </c>
      <c r="T805" t="s">
        <v>1279</v>
      </c>
      <c r="U805" t="s">
        <v>1210</v>
      </c>
      <c r="V805" t="s">
        <v>1283</v>
      </c>
      <c r="W805" t="s">
        <v>111</v>
      </c>
      <c r="X805" t="s">
        <v>791</v>
      </c>
      <c r="Y805" t="s">
        <v>45</v>
      </c>
      <c r="Z805">
        <v>20</v>
      </c>
      <c r="AA805">
        <v>6</v>
      </c>
      <c r="AB805" t="s">
        <v>46</v>
      </c>
      <c r="AC805" t="s">
        <v>47</v>
      </c>
      <c r="AD805" t="s">
        <v>2046</v>
      </c>
      <c r="AE805" t="s">
        <v>2047</v>
      </c>
    </row>
    <row r="806" spans="1:31" x14ac:dyDescent="0.2">
      <c r="A806" t="s">
        <v>31</v>
      </c>
      <c r="B806" t="s">
        <v>1950</v>
      </c>
      <c r="C806">
        <v>49</v>
      </c>
      <c r="D806" s="1">
        <v>44133</v>
      </c>
      <c r="E806" t="s">
        <v>72</v>
      </c>
      <c r="F806" t="s">
        <v>1151</v>
      </c>
      <c r="G806" t="s">
        <v>36</v>
      </c>
      <c r="H806" t="s">
        <v>53</v>
      </c>
      <c r="I806" t="s">
        <v>53</v>
      </c>
      <c r="J806" t="s">
        <v>37</v>
      </c>
      <c r="K806">
        <v>172</v>
      </c>
      <c r="L806">
        <v>5</v>
      </c>
      <c r="M806">
        <v>178</v>
      </c>
      <c r="N806">
        <v>4</v>
      </c>
      <c r="O806" t="s">
        <v>53</v>
      </c>
      <c r="P806" t="s">
        <v>38</v>
      </c>
      <c r="Q806">
        <v>0</v>
      </c>
      <c r="R806">
        <v>6</v>
      </c>
      <c r="S806" t="s">
        <v>2038</v>
      </c>
      <c r="T806" t="s">
        <v>1772</v>
      </c>
      <c r="U806" t="s">
        <v>105</v>
      </c>
      <c r="V806" t="s">
        <v>1139</v>
      </c>
      <c r="W806" t="s">
        <v>463</v>
      </c>
      <c r="X806" t="s">
        <v>174</v>
      </c>
      <c r="Y806" t="s">
        <v>45</v>
      </c>
      <c r="Z806">
        <v>20</v>
      </c>
      <c r="AA806">
        <v>6</v>
      </c>
      <c r="AB806" t="s">
        <v>46</v>
      </c>
      <c r="AC806" t="s">
        <v>47</v>
      </c>
      <c r="AD806" t="s">
        <v>2048</v>
      </c>
      <c r="AE806" t="s">
        <v>2049</v>
      </c>
    </row>
    <row r="807" spans="1:31" x14ac:dyDescent="0.2">
      <c r="A807" t="s">
        <v>31</v>
      </c>
      <c r="B807" t="s">
        <v>1950</v>
      </c>
      <c r="C807">
        <v>50</v>
      </c>
      <c r="D807" s="1">
        <v>44134</v>
      </c>
      <c r="E807" t="s">
        <v>1137</v>
      </c>
      <c r="F807" t="s">
        <v>1138</v>
      </c>
      <c r="G807" t="s">
        <v>52</v>
      </c>
      <c r="H807" t="s">
        <v>66</v>
      </c>
      <c r="I807" t="s">
        <v>66</v>
      </c>
      <c r="J807" t="s">
        <v>37</v>
      </c>
      <c r="K807">
        <v>185</v>
      </c>
      <c r="L807">
        <v>4</v>
      </c>
      <c r="M807">
        <v>186</v>
      </c>
      <c r="N807">
        <v>3</v>
      </c>
      <c r="O807" t="s">
        <v>66</v>
      </c>
      <c r="P807" t="s">
        <v>38</v>
      </c>
      <c r="Q807">
        <v>0</v>
      </c>
      <c r="R807">
        <v>7</v>
      </c>
      <c r="S807" t="s">
        <v>1587</v>
      </c>
      <c r="T807" t="s">
        <v>1279</v>
      </c>
      <c r="U807" t="s">
        <v>1283</v>
      </c>
      <c r="V807" t="s">
        <v>111</v>
      </c>
      <c r="W807" t="s">
        <v>791</v>
      </c>
      <c r="X807" t="s">
        <v>1210</v>
      </c>
      <c r="Y807" t="s">
        <v>45</v>
      </c>
      <c r="Z807">
        <v>20</v>
      </c>
      <c r="AA807">
        <v>6</v>
      </c>
      <c r="AB807" t="s">
        <v>46</v>
      </c>
      <c r="AC807" t="s">
        <v>47</v>
      </c>
      <c r="AD807" t="s">
        <v>2036</v>
      </c>
      <c r="AE807" t="s">
        <v>2050</v>
      </c>
    </row>
    <row r="808" spans="1:31" x14ac:dyDescent="0.2">
      <c r="A808" t="s">
        <v>31</v>
      </c>
      <c r="B808" t="s">
        <v>1950</v>
      </c>
      <c r="C808">
        <v>51</v>
      </c>
      <c r="D808" s="1">
        <v>44135</v>
      </c>
      <c r="E808" t="s">
        <v>72</v>
      </c>
      <c r="F808" t="s">
        <v>1151</v>
      </c>
      <c r="G808" t="s">
        <v>1820</v>
      </c>
      <c r="H808" t="s">
        <v>87</v>
      </c>
      <c r="I808" t="s">
        <v>87</v>
      </c>
      <c r="J808" t="s">
        <v>37</v>
      </c>
      <c r="K808">
        <v>110</v>
      </c>
      <c r="L808">
        <v>9</v>
      </c>
      <c r="M808">
        <v>111</v>
      </c>
      <c r="N808">
        <v>1</v>
      </c>
      <c r="O808" t="s">
        <v>87</v>
      </c>
      <c r="P808" t="s">
        <v>38</v>
      </c>
      <c r="Q808">
        <v>0</v>
      </c>
      <c r="R808">
        <v>9</v>
      </c>
      <c r="S808" t="s">
        <v>1771</v>
      </c>
      <c r="T808" t="s">
        <v>40</v>
      </c>
      <c r="U808" t="s">
        <v>1417</v>
      </c>
      <c r="V808" t="s">
        <v>604</v>
      </c>
      <c r="W808" t="s">
        <v>146</v>
      </c>
      <c r="X808" t="s">
        <v>1189</v>
      </c>
      <c r="Y808" t="s">
        <v>45</v>
      </c>
      <c r="Z808">
        <v>20</v>
      </c>
      <c r="AA808">
        <v>6</v>
      </c>
      <c r="AB808" t="s">
        <v>46</v>
      </c>
      <c r="AC808" t="s">
        <v>47</v>
      </c>
      <c r="AD808" t="s">
        <v>2051</v>
      </c>
      <c r="AE808" t="s">
        <v>2052</v>
      </c>
    </row>
    <row r="809" spans="1:31" x14ac:dyDescent="0.2">
      <c r="A809" t="s">
        <v>31</v>
      </c>
      <c r="B809" t="s">
        <v>1950</v>
      </c>
      <c r="C809">
        <v>52</v>
      </c>
      <c r="D809" s="1">
        <v>44135</v>
      </c>
      <c r="E809" t="s">
        <v>72</v>
      </c>
      <c r="F809" t="s">
        <v>1142</v>
      </c>
      <c r="G809" t="s">
        <v>35</v>
      </c>
      <c r="H809" t="s">
        <v>968</v>
      </c>
      <c r="I809" t="s">
        <v>968</v>
      </c>
      <c r="J809" t="s">
        <v>37</v>
      </c>
      <c r="K809">
        <v>120</v>
      </c>
      <c r="L809">
        <v>7</v>
      </c>
      <c r="M809">
        <v>121</v>
      </c>
      <c r="N809">
        <v>5</v>
      </c>
      <c r="O809" t="s">
        <v>968</v>
      </c>
      <c r="P809" t="s">
        <v>38</v>
      </c>
      <c r="Q809">
        <v>0</v>
      </c>
      <c r="R809">
        <v>5</v>
      </c>
      <c r="S809" t="s">
        <v>1175</v>
      </c>
      <c r="T809" t="s">
        <v>1553</v>
      </c>
      <c r="U809" t="s">
        <v>463</v>
      </c>
      <c r="V809" t="s">
        <v>174</v>
      </c>
      <c r="W809" t="s">
        <v>105</v>
      </c>
      <c r="X809" t="s">
        <v>642</v>
      </c>
      <c r="Y809" t="s">
        <v>45</v>
      </c>
      <c r="Z809">
        <v>20</v>
      </c>
      <c r="AA809">
        <v>6</v>
      </c>
      <c r="AB809" t="s">
        <v>46</v>
      </c>
      <c r="AC809" t="s">
        <v>47</v>
      </c>
      <c r="AD809" t="s">
        <v>2053</v>
      </c>
      <c r="AE809" t="s">
        <v>2054</v>
      </c>
    </row>
    <row r="810" spans="1:31" x14ac:dyDescent="0.2">
      <c r="A810" t="s">
        <v>31</v>
      </c>
      <c r="B810" t="s">
        <v>1950</v>
      </c>
      <c r="C810">
        <v>53</v>
      </c>
      <c r="D810" s="1">
        <v>44136</v>
      </c>
      <c r="E810" t="s">
        <v>1137</v>
      </c>
      <c r="F810" t="s">
        <v>1138</v>
      </c>
      <c r="G810" t="s">
        <v>52</v>
      </c>
      <c r="H810" t="s">
        <v>53</v>
      </c>
      <c r="I810" t="s">
        <v>53</v>
      </c>
      <c r="J810" t="s">
        <v>37</v>
      </c>
      <c r="K810">
        <v>153</v>
      </c>
      <c r="L810">
        <v>6</v>
      </c>
      <c r="M810">
        <v>154</v>
      </c>
      <c r="N810">
        <v>1</v>
      </c>
      <c r="O810" t="s">
        <v>53</v>
      </c>
      <c r="P810" t="s">
        <v>38</v>
      </c>
      <c r="Q810">
        <v>0</v>
      </c>
      <c r="R810">
        <v>9</v>
      </c>
      <c r="S810" t="s">
        <v>2038</v>
      </c>
      <c r="T810" t="s">
        <v>1279</v>
      </c>
      <c r="U810" t="s">
        <v>791</v>
      </c>
      <c r="V810" t="s">
        <v>939</v>
      </c>
      <c r="W810" t="s">
        <v>1283</v>
      </c>
      <c r="X810" t="s">
        <v>1210</v>
      </c>
      <c r="Y810" t="s">
        <v>45</v>
      </c>
      <c r="Z810">
        <v>20</v>
      </c>
      <c r="AA810">
        <v>6</v>
      </c>
      <c r="AB810" t="s">
        <v>46</v>
      </c>
      <c r="AC810" t="s">
        <v>47</v>
      </c>
      <c r="AD810" t="s">
        <v>2055</v>
      </c>
      <c r="AE810" t="s">
        <v>2056</v>
      </c>
    </row>
    <row r="811" spans="1:31" x14ac:dyDescent="0.2">
      <c r="A811" t="s">
        <v>31</v>
      </c>
      <c r="B811" t="s">
        <v>1950</v>
      </c>
      <c r="C811">
        <v>54</v>
      </c>
      <c r="D811" s="1">
        <v>44136</v>
      </c>
      <c r="E811" t="s">
        <v>72</v>
      </c>
      <c r="F811" t="s">
        <v>1151</v>
      </c>
      <c r="G811" t="s">
        <v>36</v>
      </c>
      <c r="H811" t="s">
        <v>66</v>
      </c>
      <c r="I811" t="s">
        <v>66</v>
      </c>
      <c r="J811" t="s">
        <v>37</v>
      </c>
      <c r="K811">
        <v>191</v>
      </c>
      <c r="L811">
        <v>7</v>
      </c>
      <c r="M811">
        <v>131</v>
      </c>
      <c r="N811">
        <v>9</v>
      </c>
      <c r="O811" t="s">
        <v>36</v>
      </c>
      <c r="P811" t="s">
        <v>38</v>
      </c>
      <c r="Q811">
        <v>60</v>
      </c>
      <c r="R811">
        <v>0</v>
      </c>
      <c r="S811" t="s">
        <v>2057</v>
      </c>
      <c r="T811" t="s">
        <v>1965</v>
      </c>
      <c r="U811" t="s">
        <v>989</v>
      </c>
      <c r="V811" t="s">
        <v>604</v>
      </c>
      <c r="W811" t="s">
        <v>146</v>
      </c>
      <c r="X811" t="s">
        <v>1417</v>
      </c>
      <c r="Y811" t="s">
        <v>45</v>
      </c>
      <c r="Z811">
        <v>20</v>
      </c>
      <c r="AA811">
        <v>6</v>
      </c>
      <c r="AB811" t="s">
        <v>46</v>
      </c>
      <c r="AC811" t="s">
        <v>47</v>
      </c>
      <c r="AD811" t="s">
        <v>2058</v>
      </c>
      <c r="AE811" t="s">
        <v>2059</v>
      </c>
    </row>
    <row r="812" spans="1:31" x14ac:dyDescent="0.2">
      <c r="A812" t="s">
        <v>31</v>
      </c>
      <c r="B812" t="s">
        <v>1950</v>
      </c>
      <c r="C812">
        <v>55</v>
      </c>
      <c r="D812" s="1">
        <v>44137</v>
      </c>
      <c r="E812" t="s">
        <v>1137</v>
      </c>
      <c r="F812" t="s">
        <v>1138</v>
      </c>
      <c r="G812" t="s">
        <v>35</v>
      </c>
      <c r="H812" t="s">
        <v>1820</v>
      </c>
      <c r="I812" t="s">
        <v>1820</v>
      </c>
      <c r="J812" t="s">
        <v>37</v>
      </c>
      <c r="K812">
        <v>152</v>
      </c>
      <c r="L812">
        <v>7</v>
      </c>
      <c r="M812">
        <v>154</v>
      </c>
      <c r="N812">
        <v>4</v>
      </c>
      <c r="O812" t="s">
        <v>1820</v>
      </c>
      <c r="P812" t="s">
        <v>38</v>
      </c>
      <c r="Q812">
        <v>0</v>
      </c>
      <c r="R812">
        <v>6</v>
      </c>
      <c r="S812" t="s">
        <v>2010</v>
      </c>
      <c r="T812" t="s">
        <v>1279</v>
      </c>
      <c r="U812" t="s">
        <v>1283</v>
      </c>
      <c r="V812" t="s">
        <v>111</v>
      </c>
      <c r="W812" t="s">
        <v>939</v>
      </c>
      <c r="X812" t="s">
        <v>791</v>
      </c>
      <c r="Y812" t="s">
        <v>45</v>
      </c>
      <c r="Z812">
        <v>20</v>
      </c>
      <c r="AA812">
        <v>6</v>
      </c>
      <c r="AB812" t="s">
        <v>46</v>
      </c>
      <c r="AC812" t="s">
        <v>47</v>
      </c>
      <c r="AD812" t="s">
        <v>2060</v>
      </c>
      <c r="AE812" t="s">
        <v>2061</v>
      </c>
    </row>
    <row r="813" spans="1:31" x14ac:dyDescent="0.2">
      <c r="A813" t="s">
        <v>31</v>
      </c>
      <c r="B813" t="s">
        <v>1950</v>
      </c>
      <c r="C813">
        <v>56</v>
      </c>
      <c r="D813" s="1">
        <v>44138</v>
      </c>
      <c r="E813" t="s">
        <v>72</v>
      </c>
      <c r="F813" t="s">
        <v>1142</v>
      </c>
      <c r="G813" t="s">
        <v>87</v>
      </c>
      <c r="H813" t="s">
        <v>968</v>
      </c>
      <c r="I813" t="s">
        <v>968</v>
      </c>
      <c r="J813" t="s">
        <v>37</v>
      </c>
      <c r="K813">
        <v>149</v>
      </c>
      <c r="L813">
        <v>8</v>
      </c>
      <c r="M813">
        <v>151</v>
      </c>
      <c r="N813">
        <v>0</v>
      </c>
      <c r="O813" t="s">
        <v>968</v>
      </c>
      <c r="P813" t="s">
        <v>38</v>
      </c>
      <c r="Q813">
        <v>0</v>
      </c>
      <c r="R813">
        <v>10</v>
      </c>
      <c r="S813" t="s">
        <v>840</v>
      </c>
      <c r="T813" t="s">
        <v>1772</v>
      </c>
      <c r="U813" t="s">
        <v>105</v>
      </c>
      <c r="V813" t="s">
        <v>1139</v>
      </c>
      <c r="W813" t="s">
        <v>463</v>
      </c>
      <c r="X813" t="s">
        <v>642</v>
      </c>
      <c r="Y813" t="s">
        <v>45</v>
      </c>
      <c r="Z813">
        <v>20</v>
      </c>
      <c r="AA813">
        <v>6</v>
      </c>
      <c r="AB813" t="s">
        <v>46</v>
      </c>
      <c r="AC813" t="s">
        <v>47</v>
      </c>
      <c r="AD813" t="s">
        <v>2062</v>
      </c>
      <c r="AE813" t="s">
        <v>2063</v>
      </c>
    </row>
    <row r="814" spans="1:31" x14ac:dyDescent="0.2">
      <c r="A814" t="s">
        <v>31</v>
      </c>
      <c r="B814" t="s">
        <v>1950</v>
      </c>
      <c r="C814" t="s">
        <v>256</v>
      </c>
      <c r="D814" s="1">
        <v>44140</v>
      </c>
      <c r="E814" t="s">
        <v>72</v>
      </c>
      <c r="F814" t="s">
        <v>1151</v>
      </c>
      <c r="G814" t="s">
        <v>87</v>
      </c>
      <c r="H814" t="s">
        <v>1820</v>
      </c>
      <c r="I814" t="s">
        <v>1820</v>
      </c>
      <c r="J814" t="s">
        <v>37</v>
      </c>
      <c r="K814">
        <v>200</v>
      </c>
      <c r="L814">
        <v>5</v>
      </c>
      <c r="M814">
        <v>143</v>
      </c>
      <c r="N814">
        <v>8</v>
      </c>
      <c r="O814" t="s">
        <v>87</v>
      </c>
      <c r="P814" t="s">
        <v>38</v>
      </c>
      <c r="Q814">
        <v>57</v>
      </c>
      <c r="R814">
        <v>0</v>
      </c>
      <c r="S814" t="s">
        <v>1571</v>
      </c>
      <c r="T814" t="s">
        <v>40</v>
      </c>
      <c r="U814" t="s">
        <v>1283</v>
      </c>
      <c r="V814" t="s">
        <v>989</v>
      </c>
      <c r="W814" t="s">
        <v>463</v>
      </c>
      <c r="X814" t="s">
        <v>146</v>
      </c>
      <c r="Y814" t="s">
        <v>45</v>
      </c>
      <c r="Z814">
        <v>20</v>
      </c>
      <c r="AA814">
        <v>6</v>
      </c>
      <c r="AB814" t="s">
        <v>46</v>
      </c>
      <c r="AC814" t="s">
        <v>47</v>
      </c>
      <c r="AD814" t="s">
        <v>2064</v>
      </c>
      <c r="AE814" t="s">
        <v>2065</v>
      </c>
    </row>
    <row r="815" spans="1:31" x14ac:dyDescent="0.2">
      <c r="A815" t="s">
        <v>31</v>
      </c>
      <c r="B815" t="s">
        <v>1950</v>
      </c>
      <c r="C815" t="s">
        <v>256</v>
      </c>
      <c r="D815" s="1">
        <v>44141</v>
      </c>
      <c r="E815" t="s">
        <v>1137</v>
      </c>
      <c r="F815" t="s">
        <v>1138</v>
      </c>
      <c r="G815" t="s">
        <v>35</v>
      </c>
      <c r="H815" t="s">
        <v>968</v>
      </c>
      <c r="I815" t="s">
        <v>968</v>
      </c>
      <c r="J815" t="s">
        <v>37</v>
      </c>
      <c r="K815">
        <v>131</v>
      </c>
      <c r="L815">
        <v>7</v>
      </c>
      <c r="M815">
        <v>132</v>
      </c>
      <c r="N815">
        <v>4</v>
      </c>
      <c r="O815" t="s">
        <v>968</v>
      </c>
      <c r="P815" t="s">
        <v>38</v>
      </c>
      <c r="Q815">
        <v>0</v>
      </c>
      <c r="R815">
        <v>6</v>
      </c>
      <c r="S815" t="s">
        <v>1596</v>
      </c>
      <c r="T815" t="s">
        <v>1279</v>
      </c>
      <c r="U815" t="s">
        <v>604</v>
      </c>
      <c r="V815" t="s">
        <v>111</v>
      </c>
      <c r="W815" t="s">
        <v>939</v>
      </c>
      <c r="X815" t="s">
        <v>105</v>
      </c>
      <c r="Y815" t="s">
        <v>45</v>
      </c>
      <c r="Z815">
        <v>20</v>
      </c>
      <c r="AA815">
        <v>6</v>
      </c>
      <c r="AB815" t="s">
        <v>46</v>
      </c>
      <c r="AC815" t="s">
        <v>47</v>
      </c>
      <c r="AD815" t="s">
        <v>2066</v>
      </c>
      <c r="AE815" t="s">
        <v>2067</v>
      </c>
    </row>
    <row r="816" spans="1:31" x14ac:dyDescent="0.2">
      <c r="A816" t="s">
        <v>31</v>
      </c>
      <c r="B816" t="s">
        <v>1950</v>
      </c>
      <c r="C816" t="s">
        <v>256</v>
      </c>
      <c r="D816" s="1">
        <v>44143</v>
      </c>
      <c r="E816" t="s">
        <v>1137</v>
      </c>
      <c r="F816" t="s">
        <v>1138</v>
      </c>
      <c r="G816" t="s">
        <v>1820</v>
      </c>
      <c r="H816" t="s">
        <v>968</v>
      </c>
      <c r="I816" t="s">
        <v>1820</v>
      </c>
      <c r="J816" t="s">
        <v>54</v>
      </c>
      <c r="K816">
        <v>189</v>
      </c>
      <c r="L816">
        <v>3</v>
      </c>
      <c r="M816">
        <v>172</v>
      </c>
      <c r="N816">
        <v>8</v>
      </c>
      <c r="O816" t="s">
        <v>1820</v>
      </c>
      <c r="P816" t="s">
        <v>38</v>
      </c>
      <c r="Q816">
        <v>17</v>
      </c>
      <c r="R816">
        <v>0</v>
      </c>
      <c r="S816" t="s">
        <v>1493</v>
      </c>
      <c r="T816" t="s">
        <v>1279</v>
      </c>
      <c r="U816" t="s">
        <v>604</v>
      </c>
      <c r="V816" t="s">
        <v>111</v>
      </c>
      <c r="W816" t="s">
        <v>105</v>
      </c>
      <c r="X816" t="s">
        <v>939</v>
      </c>
      <c r="Y816" t="s">
        <v>45</v>
      </c>
      <c r="Z816">
        <v>20</v>
      </c>
      <c r="AA816">
        <v>6</v>
      </c>
      <c r="AB816" t="s">
        <v>46</v>
      </c>
      <c r="AC816" t="s">
        <v>47</v>
      </c>
      <c r="AD816" t="s">
        <v>2068</v>
      </c>
      <c r="AE816" t="s">
        <v>2069</v>
      </c>
    </row>
    <row r="817" spans="1:31" x14ac:dyDescent="0.2">
      <c r="A817" t="s">
        <v>31</v>
      </c>
      <c r="B817" t="s">
        <v>1950</v>
      </c>
      <c r="C817" t="s">
        <v>256</v>
      </c>
      <c r="D817" s="1">
        <v>44145</v>
      </c>
      <c r="E817" t="s">
        <v>72</v>
      </c>
      <c r="F817" t="s">
        <v>1151</v>
      </c>
      <c r="G817" t="s">
        <v>1820</v>
      </c>
      <c r="H817" t="s">
        <v>87</v>
      </c>
      <c r="I817" t="s">
        <v>1820</v>
      </c>
      <c r="J817" t="s">
        <v>54</v>
      </c>
      <c r="K817">
        <v>156</v>
      </c>
      <c r="L817">
        <v>7</v>
      </c>
      <c r="M817">
        <v>157</v>
      </c>
      <c r="N817">
        <v>5</v>
      </c>
      <c r="O817" t="s">
        <v>87</v>
      </c>
      <c r="P817" t="s">
        <v>38</v>
      </c>
      <c r="Q817">
        <v>0</v>
      </c>
      <c r="R817">
        <v>5</v>
      </c>
      <c r="S817" t="s">
        <v>1335</v>
      </c>
      <c r="T817" t="s">
        <v>40</v>
      </c>
      <c r="U817" t="s">
        <v>1283</v>
      </c>
      <c r="V817" t="s">
        <v>989</v>
      </c>
      <c r="W817" t="s">
        <v>146</v>
      </c>
      <c r="X817" t="s">
        <v>463</v>
      </c>
      <c r="Y817" t="s">
        <v>45</v>
      </c>
      <c r="Z817">
        <v>20</v>
      </c>
      <c r="AA817">
        <v>6</v>
      </c>
      <c r="AB817" t="s">
        <v>46</v>
      </c>
      <c r="AC817" t="s">
        <v>47</v>
      </c>
      <c r="AD817" t="s">
        <v>2070</v>
      </c>
      <c r="AE817" t="s">
        <v>2071</v>
      </c>
    </row>
    <row r="818" spans="1:31" x14ac:dyDescent="0.2">
      <c r="A818" t="s">
        <v>31</v>
      </c>
      <c r="B818">
        <v>2021</v>
      </c>
      <c r="C818">
        <v>1</v>
      </c>
      <c r="D818" s="1">
        <v>44295</v>
      </c>
      <c r="E818" t="s">
        <v>108</v>
      </c>
      <c r="F818" t="s">
        <v>2072</v>
      </c>
      <c r="G818" t="s">
        <v>87</v>
      </c>
      <c r="H818" t="s">
        <v>35</v>
      </c>
      <c r="I818" t="s">
        <v>35</v>
      </c>
      <c r="J818" t="s">
        <v>37</v>
      </c>
      <c r="K818">
        <v>159</v>
      </c>
      <c r="L818">
        <v>9</v>
      </c>
      <c r="M818">
        <v>160</v>
      </c>
      <c r="N818">
        <v>8</v>
      </c>
      <c r="O818" t="s">
        <v>35</v>
      </c>
      <c r="P818" t="s">
        <v>38</v>
      </c>
      <c r="Q818">
        <v>0</v>
      </c>
      <c r="R818">
        <v>2</v>
      </c>
      <c r="S818" t="s">
        <v>1668</v>
      </c>
      <c r="T818" t="s">
        <v>1553</v>
      </c>
      <c r="U818" t="s">
        <v>463</v>
      </c>
      <c r="V818" t="s">
        <v>989</v>
      </c>
      <c r="W818" t="s">
        <v>105</v>
      </c>
      <c r="X818" t="s">
        <v>1210</v>
      </c>
      <c r="Y818" t="s">
        <v>45</v>
      </c>
      <c r="Z818">
        <v>20</v>
      </c>
      <c r="AA818">
        <v>6</v>
      </c>
      <c r="AB818" t="s">
        <v>46</v>
      </c>
      <c r="AC818" t="s">
        <v>47</v>
      </c>
      <c r="AD818" t="s">
        <v>2073</v>
      </c>
      <c r="AE818" t="s">
        <v>2074</v>
      </c>
    </row>
    <row r="819" spans="1:31" x14ac:dyDescent="0.2">
      <c r="A819" t="s">
        <v>31</v>
      </c>
      <c r="B819">
        <v>2021</v>
      </c>
      <c r="C819">
        <v>2</v>
      </c>
      <c r="D819" s="1">
        <v>44296</v>
      </c>
      <c r="E819" t="s">
        <v>85</v>
      </c>
      <c r="F819" t="s">
        <v>2075</v>
      </c>
      <c r="G819" t="s">
        <v>53</v>
      </c>
      <c r="H819" t="s">
        <v>1820</v>
      </c>
      <c r="I819" t="s">
        <v>1820</v>
      </c>
      <c r="J819" t="s">
        <v>37</v>
      </c>
      <c r="K819">
        <v>188</v>
      </c>
      <c r="L819">
        <v>7</v>
      </c>
      <c r="M819">
        <v>190</v>
      </c>
      <c r="N819">
        <v>3</v>
      </c>
      <c r="O819" t="s">
        <v>1820</v>
      </c>
      <c r="P819" t="s">
        <v>38</v>
      </c>
      <c r="Q819">
        <v>0</v>
      </c>
      <c r="R819">
        <v>7</v>
      </c>
      <c r="S819" t="s">
        <v>763</v>
      </c>
      <c r="T819" t="s">
        <v>1279</v>
      </c>
      <c r="U819" t="s">
        <v>146</v>
      </c>
      <c r="V819" t="s">
        <v>939</v>
      </c>
      <c r="W819" t="s">
        <v>111</v>
      </c>
      <c r="X819" t="s">
        <v>1189</v>
      </c>
      <c r="Y819" t="s">
        <v>45</v>
      </c>
      <c r="Z819">
        <v>20</v>
      </c>
      <c r="AA819">
        <v>6</v>
      </c>
      <c r="AB819" t="s">
        <v>46</v>
      </c>
      <c r="AC819" t="s">
        <v>47</v>
      </c>
      <c r="AD819" t="s">
        <v>2076</v>
      </c>
      <c r="AE819" t="s">
        <v>2077</v>
      </c>
    </row>
    <row r="820" spans="1:31" x14ac:dyDescent="0.2">
      <c r="A820" t="s">
        <v>31</v>
      </c>
      <c r="B820">
        <v>2021</v>
      </c>
      <c r="C820">
        <v>3</v>
      </c>
      <c r="D820" s="1">
        <v>44297</v>
      </c>
      <c r="E820" t="s">
        <v>108</v>
      </c>
      <c r="F820" t="s">
        <v>2072</v>
      </c>
      <c r="G820" t="s">
        <v>36</v>
      </c>
      <c r="H820" t="s">
        <v>968</v>
      </c>
      <c r="I820" t="s">
        <v>968</v>
      </c>
      <c r="J820" t="s">
        <v>37</v>
      </c>
      <c r="K820">
        <v>187</v>
      </c>
      <c r="L820">
        <v>6</v>
      </c>
      <c r="M820">
        <v>177</v>
      </c>
      <c r="N820">
        <v>5</v>
      </c>
      <c r="O820" t="s">
        <v>36</v>
      </c>
      <c r="P820" t="s">
        <v>38</v>
      </c>
      <c r="Q820">
        <v>10</v>
      </c>
      <c r="R820">
        <v>0</v>
      </c>
      <c r="S820" t="s">
        <v>1564</v>
      </c>
      <c r="T820" t="s">
        <v>1553</v>
      </c>
      <c r="U820" t="s">
        <v>463</v>
      </c>
      <c r="V820" t="s">
        <v>989</v>
      </c>
      <c r="W820" t="s">
        <v>1283</v>
      </c>
      <c r="X820" t="s">
        <v>1728</v>
      </c>
      <c r="Y820" t="s">
        <v>45</v>
      </c>
      <c r="Z820">
        <v>20</v>
      </c>
      <c r="AA820">
        <v>6</v>
      </c>
      <c r="AB820" t="s">
        <v>46</v>
      </c>
      <c r="AC820" t="s">
        <v>47</v>
      </c>
      <c r="AD820" t="s">
        <v>2078</v>
      </c>
      <c r="AE820" t="s">
        <v>2079</v>
      </c>
    </row>
    <row r="821" spans="1:31" x14ac:dyDescent="0.2">
      <c r="A821" t="s">
        <v>31</v>
      </c>
      <c r="B821">
        <v>2021</v>
      </c>
      <c r="C821">
        <v>4</v>
      </c>
      <c r="D821" s="1">
        <v>44298</v>
      </c>
      <c r="E821" t="s">
        <v>85</v>
      </c>
      <c r="F821" t="s">
        <v>2075</v>
      </c>
      <c r="G821" t="s">
        <v>2080</v>
      </c>
      <c r="H821" t="s">
        <v>66</v>
      </c>
      <c r="I821" t="s">
        <v>66</v>
      </c>
      <c r="J821" t="s">
        <v>37</v>
      </c>
      <c r="K821">
        <v>221</v>
      </c>
      <c r="L821">
        <v>6</v>
      </c>
      <c r="M821">
        <v>217</v>
      </c>
      <c r="N821">
        <v>7</v>
      </c>
      <c r="O821" t="s">
        <v>2080</v>
      </c>
      <c r="P821" t="s">
        <v>38</v>
      </c>
      <c r="Q821">
        <v>4</v>
      </c>
      <c r="R821">
        <v>0</v>
      </c>
      <c r="S821" t="s">
        <v>1055</v>
      </c>
      <c r="T821" t="s">
        <v>1279</v>
      </c>
      <c r="U821" t="s">
        <v>146</v>
      </c>
      <c r="V821" t="s">
        <v>111</v>
      </c>
      <c r="W821" t="s">
        <v>939</v>
      </c>
      <c r="X821" t="s">
        <v>1417</v>
      </c>
      <c r="Y821" t="s">
        <v>45</v>
      </c>
      <c r="Z821">
        <v>20</v>
      </c>
      <c r="AA821">
        <v>6</v>
      </c>
      <c r="AB821" t="s">
        <v>46</v>
      </c>
      <c r="AC821" t="s">
        <v>47</v>
      </c>
      <c r="AD821" t="s">
        <v>2081</v>
      </c>
      <c r="AE821" t="s">
        <v>2082</v>
      </c>
    </row>
    <row r="822" spans="1:31" x14ac:dyDescent="0.2">
      <c r="A822" t="s">
        <v>31</v>
      </c>
      <c r="B822">
        <v>2021</v>
      </c>
      <c r="C822">
        <v>5</v>
      </c>
      <c r="D822" s="1">
        <v>44299</v>
      </c>
      <c r="E822" t="s">
        <v>108</v>
      </c>
      <c r="F822" t="s">
        <v>2072</v>
      </c>
      <c r="G822" t="s">
        <v>87</v>
      </c>
      <c r="H822" t="s">
        <v>36</v>
      </c>
      <c r="I822" t="s">
        <v>36</v>
      </c>
      <c r="J822" t="s">
        <v>37</v>
      </c>
      <c r="K822">
        <v>152</v>
      </c>
      <c r="L822">
        <v>10</v>
      </c>
      <c r="M822">
        <v>142</v>
      </c>
      <c r="N822">
        <v>7</v>
      </c>
      <c r="O822" t="s">
        <v>87</v>
      </c>
      <c r="P822" t="s">
        <v>38</v>
      </c>
      <c r="Q822">
        <v>10</v>
      </c>
      <c r="R822">
        <v>0</v>
      </c>
      <c r="S822" t="s">
        <v>2083</v>
      </c>
      <c r="T822" t="s">
        <v>1443</v>
      </c>
      <c r="U822" t="s">
        <v>105</v>
      </c>
      <c r="V822" t="s">
        <v>1283</v>
      </c>
      <c r="W822" t="s">
        <v>463</v>
      </c>
      <c r="X822" t="s">
        <v>1728</v>
      </c>
      <c r="Y822" t="s">
        <v>45</v>
      </c>
      <c r="Z822">
        <v>20</v>
      </c>
      <c r="AA822">
        <v>6</v>
      </c>
      <c r="AB822" t="s">
        <v>46</v>
      </c>
      <c r="AC822" t="s">
        <v>47</v>
      </c>
      <c r="AD822" t="s">
        <v>2084</v>
      </c>
      <c r="AE822" t="s">
        <v>2085</v>
      </c>
    </row>
    <row r="823" spans="1:31" x14ac:dyDescent="0.2">
      <c r="A823" t="s">
        <v>31</v>
      </c>
      <c r="B823">
        <v>2021</v>
      </c>
      <c r="C823">
        <v>6</v>
      </c>
      <c r="D823" s="1">
        <v>44300</v>
      </c>
      <c r="E823" t="s">
        <v>108</v>
      </c>
      <c r="F823" t="s">
        <v>2072</v>
      </c>
      <c r="G823" t="s">
        <v>35</v>
      </c>
      <c r="H823" t="s">
        <v>968</v>
      </c>
      <c r="I823" t="s">
        <v>968</v>
      </c>
      <c r="J823" t="s">
        <v>37</v>
      </c>
      <c r="K823">
        <v>149</v>
      </c>
      <c r="L823">
        <v>8</v>
      </c>
      <c r="M823">
        <v>143</v>
      </c>
      <c r="N823">
        <v>9</v>
      </c>
      <c r="O823" t="s">
        <v>35</v>
      </c>
      <c r="P823" t="s">
        <v>38</v>
      </c>
      <c r="Q823">
        <v>6</v>
      </c>
      <c r="R823">
        <v>0</v>
      </c>
      <c r="S823" t="s">
        <v>1146</v>
      </c>
      <c r="T823" t="s">
        <v>1553</v>
      </c>
      <c r="U823" t="s">
        <v>989</v>
      </c>
      <c r="V823" t="s">
        <v>1210</v>
      </c>
      <c r="W823" t="s">
        <v>105</v>
      </c>
      <c r="X823" t="s">
        <v>982</v>
      </c>
      <c r="Y823" t="s">
        <v>45</v>
      </c>
      <c r="Z823">
        <v>20</v>
      </c>
      <c r="AA823">
        <v>6</v>
      </c>
      <c r="AB823" t="s">
        <v>46</v>
      </c>
      <c r="AC823" t="s">
        <v>47</v>
      </c>
      <c r="AD823" t="s">
        <v>2086</v>
      </c>
      <c r="AE823" t="s">
        <v>2087</v>
      </c>
    </row>
    <row r="824" spans="1:31" x14ac:dyDescent="0.2">
      <c r="A824" t="s">
        <v>31</v>
      </c>
      <c r="B824">
        <v>2021</v>
      </c>
      <c r="C824">
        <v>7</v>
      </c>
      <c r="D824" s="1">
        <v>44301</v>
      </c>
      <c r="E824" t="s">
        <v>85</v>
      </c>
      <c r="F824" t="s">
        <v>2075</v>
      </c>
      <c r="G824" t="s">
        <v>1820</v>
      </c>
      <c r="H824" t="s">
        <v>66</v>
      </c>
      <c r="I824" t="s">
        <v>66</v>
      </c>
      <c r="J824" t="s">
        <v>37</v>
      </c>
      <c r="K824">
        <v>147</v>
      </c>
      <c r="L824">
        <v>8</v>
      </c>
      <c r="M824">
        <v>150</v>
      </c>
      <c r="N824">
        <v>7</v>
      </c>
      <c r="O824" t="s">
        <v>66</v>
      </c>
      <c r="P824" t="s">
        <v>38</v>
      </c>
      <c r="Q824">
        <v>0</v>
      </c>
      <c r="R824">
        <v>3</v>
      </c>
      <c r="S824" t="s">
        <v>585</v>
      </c>
      <c r="T824" t="s">
        <v>1965</v>
      </c>
      <c r="U824" t="s">
        <v>111</v>
      </c>
      <c r="V824" t="s">
        <v>939</v>
      </c>
      <c r="W824" t="s">
        <v>146</v>
      </c>
      <c r="X824" t="s">
        <v>455</v>
      </c>
      <c r="Y824" t="s">
        <v>45</v>
      </c>
      <c r="Z824">
        <v>20</v>
      </c>
      <c r="AA824">
        <v>6</v>
      </c>
      <c r="AB824" t="s">
        <v>46</v>
      </c>
      <c r="AC824" t="s">
        <v>47</v>
      </c>
      <c r="AD824" t="s">
        <v>2088</v>
      </c>
      <c r="AE824" t="s">
        <v>2089</v>
      </c>
    </row>
    <row r="825" spans="1:31" x14ac:dyDescent="0.2">
      <c r="A825" t="s">
        <v>31</v>
      </c>
      <c r="B825">
        <v>2021</v>
      </c>
      <c r="C825">
        <v>8</v>
      </c>
      <c r="D825" s="1">
        <v>44302</v>
      </c>
      <c r="E825" t="s">
        <v>85</v>
      </c>
      <c r="F825" t="s">
        <v>2075</v>
      </c>
      <c r="G825" t="s">
        <v>2080</v>
      </c>
      <c r="H825" t="s">
        <v>53</v>
      </c>
      <c r="I825" t="s">
        <v>53</v>
      </c>
      <c r="J825" t="s">
        <v>37</v>
      </c>
      <c r="K825">
        <v>106</v>
      </c>
      <c r="L825">
        <v>8</v>
      </c>
      <c r="M825">
        <v>107</v>
      </c>
      <c r="N825">
        <v>4</v>
      </c>
      <c r="O825" t="s">
        <v>53</v>
      </c>
      <c r="P825" t="s">
        <v>38</v>
      </c>
      <c r="Q825">
        <v>0</v>
      </c>
      <c r="R825">
        <v>6</v>
      </c>
      <c r="S825" t="s">
        <v>1867</v>
      </c>
      <c r="T825" t="s">
        <v>1772</v>
      </c>
      <c r="U825" t="s">
        <v>146</v>
      </c>
      <c r="V825" t="s">
        <v>1189</v>
      </c>
      <c r="W825" t="s">
        <v>939</v>
      </c>
      <c r="X825" t="s">
        <v>1197</v>
      </c>
      <c r="Y825" t="s">
        <v>45</v>
      </c>
      <c r="Z825">
        <v>20</v>
      </c>
      <c r="AA825">
        <v>6</v>
      </c>
      <c r="AB825" t="s">
        <v>46</v>
      </c>
      <c r="AC825" t="s">
        <v>47</v>
      </c>
      <c r="AD825" t="s">
        <v>2081</v>
      </c>
      <c r="AE825" t="s">
        <v>2090</v>
      </c>
    </row>
    <row r="826" spans="1:31" x14ac:dyDescent="0.2">
      <c r="A826" t="s">
        <v>31</v>
      </c>
      <c r="B826">
        <v>2021</v>
      </c>
      <c r="C826">
        <v>9</v>
      </c>
      <c r="D826" s="1">
        <v>44303</v>
      </c>
      <c r="E826" t="s">
        <v>108</v>
      </c>
      <c r="F826" t="s">
        <v>2072</v>
      </c>
      <c r="G826" t="s">
        <v>87</v>
      </c>
      <c r="H826" t="s">
        <v>968</v>
      </c>
      <c r="I826" t="s">
        <v>87</v>
      </c>
      <c r="J826" t="s">
        <v>54</v>
      </c>
      <c r="K826">
        <v>150</v>
      </c>
      <c r="L826">
        <v>5</v>
      </c>
      <c r="M826">
        <v>137</v>
      </c>
      <c r="N826">
        <v>10</v>
      </c>
      <c r="O826" t="s">
        <v>87</v>
      </c>
      <c r="P826" t="s">
        <v>38</v>
      </c>
      <c r="Q826">
        <v>13</v>
      </c>
      <c r="R826">
        <v>0</v>
      </c>
      <c r="S826" t="s">
        <v>568</v>
      </c>
      <c r="T826" t="s">
        <v>1443</v>
      </c>
      <c r="U826" t="s">
        <v>1283</v>
      </c>
      <c r="V826" t="s">
        <v>174</v>
      </c>
      <c r="W826" t="s">
        <v>463</v>
      </c>
      <c r="X826" t="s">
        <v>982</v>
      </c>
      <c r="Y826" t="s">
        <v>45</v>
      </c>
      <c r="Z826">
        <v>20</v>
      </c>
      <c r="AA826">
        <v>6</v>
      </c>
      <c r="AB826" t="s">
        <v>46</v>
      </c>
      <c r="AC826" t="s">
        <v>47</v>
      </c>
      <c r="AD826" t="s">
        <v>2091</v>
      </c>
      <c r="AE826" t="s">
        <v>2092</v>
      </c>
    </row>
    <row r="827" spans="1:31" x14ac:dyDescent="0.2">
      <c r="A827" t="s">
        <v>31</v>
      </c>
      <c r="B827">
        <v>2021</v>
      </c>
      <c r="C827">
        <v>10</v>
      </c>
      <c r="D827" s="1">
        <v>44304</v>
      </c>
      <c r="E827" t="s">
        <v>108</v>
      </c>
      <c r="F827" t="s">
        <v>2072</v>
      </c>
      <c r="G827" t="s">
        <v>35</v>
      </c>
      <c r="H827" t="s">
        <v>36</v>
      </c>
      <c r="I827" t="s">
        <v>35</v>
      </c>
      <c r="J827" t="s">
        <v>54</v>
      </c>
      <c r="K827">
        <v>204</v>
      </c>
      <c r="L827">
        <v>4</v>
      </c>
      <c r="M827">
        <v>166</v>
      </c>
      <c r="N827">
        <v>8</v>
      </c>
      <c r="O827" t="s">
        <v>35</v>
      </c>
      <c r="P827" t="s">
        <v>38</v>
      </c>
      <c r="Q827">
        <v>38</v>
      </c>
      <c r="R827">
        <v>0</v>
      </c>
      <c r="S827" t="s">
        <v>300</v>
      </c>
      <c r="T827" t="s">
        <v>1553</v>
      </c>
      <c r="U827" t="s">
        <v>105</v>
      </c>
      <c r="V827" t="s">
        <v>989</v>
      </c>
      <c r="W827" t="s">
        <v>1283</v>
      </c>
      <c r="X827" t="s">
        <v>174</v>
      </c>
      <c r="Y827" t="s">
        <v>45</v>
      </c>
      <c r="Z827">
        <v>20</v>
      </c>
      <c r="AA827">
        <v>6</v>
      </c>
      <c r="AB827" t="s">
        <v>46</v>
      </c>
      <c r="AC827" t="s">
        <v>47</v>
      </c>
      <c r="AD827" t="s">
        <v>2093</v>
      </c>
      <c r="AE827" t="s">
        <v>2094</v>
      </c>
    </row>
    <row r="828" spans="1:31" x14ac:dyDescent="0.2">
      <c r="A828" t="s">
        <v>31</v>
      </c>
      <c r="B828">
        <v>2021</v>
      </c>
      <c r="C828">
        <v>11</v>
      </c>
      <c r="D828" s="1">
        <v>44304</v>
      </c>
      <c r="E828" t="s">
        <v>85</v>
      </c>
      <c r="F828" t="s">
        <v>2075</v>
      </c>
      <c r="G828" t="s">
        <v>2080</v>
      </c>
      <c r="H828" t="s">
        <v>1820</v>
      </c>
      <c r="I828" t="s">
        <v>1820</v>
      </c>
      <c r="J828" t="s">
        <v>37</v>
      </c>
      <c r="K828">
        <v>195</v>
      </c>
      <c r="L828">
        <v>4</v>
      </c>
      <c r="M828">
        <v>198</v>
      </c>
      <c r="N828">
        <v>4</v>
      </c>
      <c r="O828" t="s">
        <v>1820</v>
      </c>
      <c r="P828" t="s">
        <v>38</v>
      </c>
      <c r="Q828">
        <v>0</v>
      </c>
      <c r="R828">
        <v>6</v>
      </c>
      <c r="S828" t="s">
        <v>763</v>
      </c>
      <c r="T828" t="s">
        <v>1279</v>
      </c>
      <c r="U828" t="s">
        <v>146</v>
      </c>
      <c r="V828" t="s">
        <v>604</v>
      </c>
      <c r="W828" t="s">
        <v>111</v>
      </c>
      <c r="X828" t="s">
        <v>455</v>
      </c>
      <c r="Y828" t="s">
        <v>45</v>
      </c>
      <c r="Z828">
        <v>20</v>
      </c>
      <c r="AA828">
        <v>6</v>
      </c>
      <c r="AB828" t="s">
        <v>46</v>
      </c>
      <c r="AC828" t="s">
        <v>47</v>
      </c>
      <c r="AD828" t="s">
        <v>2095</v>
      </c>
      <c r="AE828" t="s">
        <v>2096</v>
      </c>
    </row>
    <row r="829" spans="1:31" x14ac:dyDescent="0.2">
      <c r="A829" t="s">
        <v>31</v>
      </c>
      <c r="B829">
        <v>2021</v>
      </c>
      <c r="C829">
        <v>12</v>
      </c>
      <c r="D829" s="1">
        <v>44305</v>
      </c>
      <c r="E829" t="s">
        <v>85</v>
      </c>
      <c r="F829" t="s">
        <v>2075</v>
      </c>
      <c r="G829" t="s">
        <v>53</v>
      </c>
      <c r="H829" t="s">
        <v>66</v>
      </c>
      <c r="I829" t="s">
        <v>66</v>
      </c>
      <c r="J829" t="s">
        <v>37</v>
      </c>
      <c r="K829">
        <v>188</v>
      </c>
      <c r="L829">
        <v>9</v>
      </c>
      <c r="M829">
        <v>143</v>
      </c>
      <c r="N829">
        <v>9</v>
      </c>
      <c r="O829" t="s">
        <v>53</v>
      </c>
      <c r="P829" t="s">
        <v>38</v>
      </c>
      <c r="Q829">
        <v>45</v>
      </c>
      <c r="R829">
        <v>0</v>
      </c>
      <c r="S829" t="s">
        <v>2097</v>
      </c>
      <c r="T829" t="s">
        <v>1772</v>
      </c>
      <c r="U829" t="s">
        <v>604</v>
      </c>
      <c r="V829" t="s">
        <v>939</v>
      </c>
      <c r="W829" t="s">
        <v>1417</v>
      </c>
      <c r="X829" t="s">
        <v>1197</v>
      </c>
      <c r="Y829" t="s">
        <v>45</v>
      </c>
      <c r="Z829">
        <v>20</v>
      </c>
      <c r="AA829">
        <v>6</v>
      </c>
      <c r="AB829" t="s">
        <v>46</v>
      </c>
      <c r="AC829" t="s">
        <v>47</v>
      </c>
      <c r="AD829" t="s">
        <v>2076</v>
      </c>
      <c r="AE829" t="s">
        <v>2089</v>
      </c>
    </row>
    <row r="830" spans="1:31" x14ac:dyDescent="0.2">
      <c r="A830" t="s">
        <v>31</v>
      </c>
      <c r="B830">
        <v>2021</v>
      </c>
      <c r="C830">
        <v>13</v>
      </c>
      <c r="D830" s="1">
        <v>44306</v>
      </c>
      <c r="E830" t="s">
        <v>108</v>
      </c>
      <c r="F830" t="s">
        <v>2072</v>
      </c>
      <c r="G830" t="s">
        <v>87</v>
      </c>
      <c r="H830" t="s">
        <v>1820</v>
      </c>
      <c r="I830" t="s">
        <v>87</v>
      </c>
      <c r="J830" t="s">
        <v>54</v>
      </c>
      <c r="K830">
        <v>137</v>
      </c>
      <c r="L830">
        <v>9</v>
      </c>
      <c r="M830">
        <v>138</v>
      </c>
      <c r="N830">
        <v>4</v>
      </c>
      <c r="O830" t="s">
        <v>1820</v>
      </c>
      <c r="P830" t="s">
        <v>38</v>
      </c>
      <c r="Q830">
        <v>0</v>
      </c>
      <c r="R830">
        <v>6</v>
      </c>
      <c r="S830" t="s">
        <v>204</v>
      </c>
      <c r="T830" t="s">
        <v>1553</v>
      </c>
      <c r="U830" t="s">
        <v>105</v>
      </c>
      <c r="V830" t="s">
        <v>1283</v>
      </c>
      <c r="W830" t="s">
        <v>1210</v>
      </c>
      <c r="X830" t="s">
        <v>982</v>
      </c>
      <c r="Y830" t="s">
        <v>45</v>
      </c>
      <c r="Z830">
        <v>20</v>
      </c>
      <c r="AA830">
        <v>6</v>
      </c>
      <c r="AB830" t="s">
        <v>46</v>
      </c>
      <c r="AC830" t="s">
        <v>47</v>
      </c>
      <c r="AD830" t="s">
        <v>2098</v>
      </c>
      <c r="AE830" t="s">
        <v>2099</v>
      </c>
    </row>
    <row r="831" spans="1:31" x14ac:dyDescent="0.2">
      <c r="A831" t="s">
        <v>31</v>
      </c>
      <c r="B831">
        <v>2021</v>
      </c>
      <c r="C831">
        <v>14</v>
      </c>
      <c r="D831" s="1">
        <v>44307</v>
      </c>
      <c r="E831" t="s">
        <v>108</v>
      </c>
      <c r="F831" t="s">
        <v>2072</v>
      </c>
      <c r="G831" t="s">
        <v>2080</v>
      </c>
      <c r="H831" t="s">
        <v>968</v>
      </c>
      <c r="I831" t="s">
        <v>2080</v>
      </c>
      <c r="J831" t="s">
        <v>54</v>
      </c>
      <c r="K831">
        <v>120</v>
      </c>
      <c r="L831">
        <v>10</v>
      </c>
      <c r="M831">
        <v>121</v>
      </c>
      <c r="N831">
        <v>1</v>
      </c>
      <c r="O831" t="s">
        <v>968</v>
      </c>
      <c r="P831" t="s">
        <v>38</v>
      </c>
      <c r="Q831">
        <v>0</v>
      </c>
      <c r="R831">
        <v>9</v>
      </c>
      <c r="S831" t="s">
        <v>1838</v>
      </c>
      <c r="T831" t="s">
        <v>1443</v>
      </c>
      <c r="U831" t="s">
        <v>174</v>
      </c>
      <c r="V831" t="s">
        <v>989</v>
      </c>
      <c r="W831" t="s">
        <v>463</v>
      </c>
      <c r="X831" t="s">
        <v>1728</v>
      </c>
      <c r="Y831" t="s">
        <v>45</v>
      </c>
      <c r="Z831">
        <v>20</v>
      </c>
      <c r="AA831">
        <v>6</v>
      </c>
      <c r="AB831" t="s">
        <v>46</v>
      </c>
      <c r="AC831" t="s">
        <v>47</v>
      </c>
      <c r="AD831" t="s">
        <v>2100</v>
      </c>
      <c r="AE831" t="s">
        <v>2101</v>
      </c>
    </row>
    <row r="832" spans="1:31" x14ac:dyDescent="0.2">
      <c r="A832" t="s">
        <v>31</v>
      </c>
      <c r="B832">
        <v>2021</v>
      </c>
      <c r="C832">
        <v>15</v>
      </c>
      <c r="D832" s="1">
        <v>44307</v>
      </c>
      <c r="E832" t="s">
        <v>85</v>
      </c>
      <c r="F832" t="s">
        <v>2075</v>
      </c>
      <c r="G832" t="s">
        <v>53</v>
      </c>
      <c r="H832" t="s">
        <v>36</v>
      </c>
      <c r="I832" t="s">
        <v>36</v>
      </c>
      <c r="J832" t="s">
        <v>37</v>
      </c>
      <c r="K832">
        <v>220</v>
      </c>
      <c r="L832">
        <v>3</v>
      </c>
      <c r="M832">
        <v>202</v>
      </c>
      <c r="N832">
        <v>10</v>
      </c>
      <c r="O832" t="s">
        <v>53</v>
      </c>
      <c r="P832" t="s">
        <v>38</v>
      </c>
      <c r="Q832">
        <v>18</v>
      </c>
      <c r="R832">
        <v>0</v>
      </c>
      <c r="S832" t="s">
        <v>822</v>
      </c>
      <c r="T832" t="s">
        <v>1965</v>
      </c>
      <c r="U832" t="s">
        <v>1189</v>
      </c>
      <c r="V832" t="s">
        <v>604</v>
      </c>
      <c r="W832" t="s">
        <v>146</v>
      </c>
      <c r="X832" t="s">
        <v>1417</v>
      </c>
      <c r="Y832" t="s">
        <v>45</v>
      </c>
      <c r="Z832">
        <v>20</v>
      </c>
      <c r="AA832">
        <v>6</v>
      </c>
      <c r="AB832" t="s">
        <v>46</v>
      </c>
      <c r="AC832" t="s">
        <v>47</v>
      </c>
      <c r="AD832" t="s">
        <v>2102</v>
      </c>
      <c r="AE832" t="s">
        <v>2103</v>
      </c>
    </row>
    <row r="833" spans="1:31" x14ac:dyDescent="0.2">
      <c r="A833" t="s">
        <v>31</v>
      </c>
      <c r="B833">
        <v>2021</v>
      </c>
      <c r="C833">
        <v>16</v>
      </c>
      <c r="D833" s="1">
        <v>44308</v>
      </c>
      <c r="E833" t="s">
        <v>85</v>
      </c>
      <c r="F833" t="s">
        <v>2075</v>
      </c>
      <c r="G833" t="s">
        <v>66</v>
      </c>
      <c r="H833" t="s">
        <v>35</v>
      </c>
      <c r="I833" t="s">
        <v>35</v>
      </c>
      <c r="J833" t="s">
        <v>37</v>
      </c>
      <c r="K833">
        <v>177</v>
      </c>
      <c r="L833">
        <v>9</v>
      </c>
      <c r="M833">
        <v>181</v>
      </c>
      <c r="N833">
        <v>0</v>
      </c>
      <c r="O833" t="s">
        <v>35</v>
      </c>
      <c r="P833" t="s">
        <v>38</v>
      </c>
      <c r="Q833">
        <v>0</v>
      </c>
      <c r="R833">
        <v>10</v>
      </c>
      <c r="S833" t="s">
        <v>2104</v>
      </c>
      <c r="T833" t="s">
        <v>1965</v>
      </c>
      <c r="U833" t="s">
        <v>455</v>
      </c>
      <c r="V833" t="s">
        <v>111</v>
      </c>
      <c r="W833" t="s">
        <v>939</v>
      </c>
      <c r="X833" t="s">
        <v>1189</v>
      </c>
      <c r="Y833" t="s">
        <v>45</v>
      </c>
      <c r="Z833">
        <v>20</v>
      </c>
      <c r="AA833">
        <v>6</v>
      </c>
      <c r="AB833" t="s">
        <v>46</v>
      </c>
      <c r="AC833" t="s">
        <v>47</v>
      </c>
      <c r="AD833" t="s">
        <v>2105</v>
      </c>
      <c r="AE833" t="s">
        <v>2106</v>
      </c>
    </row>
    <row r="834" spans="1:31" x14ac:dyDescent="0.2">
      <c r="A834" t="s">
        <v>31</v>
      </c>
      <c r="B834">
        <v>2021</v>
      </c>
      <c r="C834">
        <v>17</v>
      </c>
      <c r="D834" s="1">
        <v>44309</v>
      </c>
      <c r="E834" t="s">
        <v>108</v>
      </c>
      <c r="F834" t="s">
        <v>2072</v>
      </c>
      <c r="G834" t="s">
        <v>87</v>
      </c>
      <c r="H834" t="s">
        <v>2080</v>
      </c>
      <c r="I834" t="s">
        <v>2080</v>
      </c>
      <c r="J834" t="s">
        <v>37</v>
      </c>
      <c r="K834">
        <v>131</v>
      </c>
      <c r="L834">
        <v>6</v>
      </c>
      <c r="M834">
        <v>132</v>
      </c>
      <c r="N834">
        <v>1</v>
      </c>
      <c r="O834" t="s">
        <v>2080</v>
      </c>
      <c r="P834" t="s">
        <v>38</v>
      </c>
      <c r="Q834">
        <v>0</v>
      </c>
      <c r="R834">
        <v>9</v>
      </c>
      <c r="S834" t="s">
        <v>1684</v>
      </c>
      <c r="T834" t="s">
        <v>1553</v>
      </c>
      <c r="U834" t="s">
        <v>105</v>
      </c>
      <c r="V834" t="s">
        <v>989</v>
      </c>
      <c r="W834" t="s">
        <v>1728</v>
      </c>
      <c r="X834" t="s">
        <v>1210</v>
      </c>
      <c r="Y834" t="s">
        <v>45</v>
      </c>
      <c r="Z834">
        <v>20</v>
      </c>
      <c r="AA834">
        <v>6</v>
      </c>
      <c r="AB834" t="s">
        <v>46</v>
      </c>
      <c r="AC834" t="s">
        <v>47</v>
      </c>
      <c r="AD834" t="s">
        <v>2107</v>
      </c>
      <c r="AE834" t="s">
        <v>2108</v>
      </c>
    </row>
    <row r="835" spans="1:31" x14ac:dyDescent="0.2">
      <c r="A835" t="s">
        <v>31</v>
      </c>
      <c r="B835">
        <v>2021</v>
      </c>
      <c r="C835">
        <v>18</v>
      </c>
      <c r="D835" s="1">
        <v>44310</v>
      </c>
      <c r="E835" t="s">
        <v>85</v>
      </c>
      <c r="F835" t="s">
        <v>2075</v>
      </c>
      <c r="G835" t="s">
        <v>36</v>
      </c>
      <c r="H835" t="s">
        <v>66</v>
      </c>
      <c r="I835" t="s">
        <v>66</v>
      </c>
      <c r="J835" t="s">
        <v>37</v>
      </c>
      <c r="K835">
        <v>133</v>
      </c>
      <c r="L835">
        <v>9</v>
      </c>
      <c r="M835">
        <v>134</v>
      </c>
      <c r="N835">
        <v>4</v>
      </c>
      <c r="O835" t="s">
        <v>66</v>
      </c>
      <c r="P835" t="s">
        <v>38</v>
      </c>
      <c r="Q835">
        <v>0</v>
      </c>
      <c r="R835">
        <v>6</v>
      </c>
      <c r="S835" t="s">
        <v>1464</v>
      </c>
      <c r="T835" t="s">
        <v>1279</v>
      </c>
      <c r="U835" t="s">
        <v>1197</v>
      </c>
      <c r="V835" t="s">
        <v>111</v>
      </c>
      <c r="W835" t="s">
        <v>604</v>
      </c>
      <c r="X835" t="s">
        <v>1417</v>
      </c>
      <c r="Y835" t="s">
        <v>45</v>
      </c>
      <c r="Z835">
        <v>20</v>
      </c>
      <c r="AA835">
        <v>6</v>
      </c>
      <c r="AB835" t="s">
        <v>46</v>
      </c>
      <c r="AC835" t="s">
        <v>47</v>
      </c>
      <c r="AD835" t="s">
        <v>2109</v>
      </c>
      <c r="AE835" t="s">
        <v>2110</v>
      </c>
    </row>
    <row r="836" spans="1:31" x14ac:dyDescent="0.2">
      <c r="A836" t="s">
        <v>31</v>
      </c>
      <c r="B836">
        <v>2021</v>
      </c>
      <c r="C836">
        <v>19</v>
      </c>
      <c r="D836" s="1">
        <v>44311</v>
      </c>
      <c r="E836" t="s">
        <v>85</v>
      </c>
      <c r="F836" t="s">
        <v>2075</v>
      </c>
      <c r="G836" t="s">
        <v>53</v>
      </c>
      <c r="H836" t="s">
        <v>35</v>
      </c>
      <c r="I836" t="s">
        <v>53</v>
      </c>
      <c r="J836" t="s">
        <v>54</v>
      </c>
      <c r="K836">
        <v>191</v>
      </c>
      <c r="L836">
        <v>4</v>
      </c>
      <c r="M836">
        <v>122</v>
      </c>
      <c r="N836">
        <v>9</v>
      </c>
      <c r="O836" t="s">
        <v>53</v>
      </c>
      <c r="P836" t="s">
        <v>38</v>
      </c>
      <c r="Q836">
        <v>69</v>
      </c>
      <c r="R836">
        <v>0</v>
      </c>
      <c r="S836" t="s">
        <v>802</v>
      </c>
      <c r="T836" t="s">
        <v>1965</v>
      </c>
      <c r="U836" t="s">
        <v>146</v>
      </c>
      <c r="V836" t="s">
        <v>939</v>
      </c>
      <c r="W836" t="s">
        <v>1197</v>
      </c>
      <c r="X836" t="s">
        <v>455</v>
      </c>
      <c r="Y836" t="s">
        <v>45</v>
      </c>
      <c r="Z836">
        <v>20</v>
      </c>
      <c r="AA836">
        <v>6</v>
      </c>
      <c r="AB836" t="s">
        <v>46</v>
      </c>
      <c r="AC836" t="s">
        <v>47</v>
      </c>
      <c r="AD836" t="s">
        <v>2111</v>
      </c>
      <c r="AE836" t="s">
        <v>2112</v>
      </c>
    </row>
    <row r="837" spans="1:31" x14ac:dyDescent="0.2">
      <c r="A837" t="s">
        <v>31</v>
      </c>
      <c r="B837">
        <v>2021</v>
      </c>
      <c r="C837">
        <v>20</v>
      </c>
      <c r="D837" s="1">
        <v>44311</v>
      </c>
      <c r="E837" t="s">
        <v>108</v>
      </c>
      <c r="F837" t="s">
        <v>2072</v>
      </c>
      <c r="G837" t="s">
        <v>1820</v>
      </c>
      <c r="H837" t="s">
        <v>968</v>
      </c>
      <c r="I837" t="s">
        <v>1820</v>
      </c>
      <c r="J837" t="s">
        <v>54</v>
      </c>
      <c r="K837">
        <v>167</v>
      </c>
      <c r="L837">
        <v>4</v>
      </c>
      <c r="M837">
        <v>166</v>
      </c>
      <c r="N837">
        <v>7</v>
      </c>
      <c r="O837" t="s">
        <v>304</v>
      </c>
      <c r="P837" t="s">
        <v>305</v>
      </c>
      <c r="Q837">
        <v>0</v>
      </c>
      <c r="R837">
        <v>0</v>
      </c>
      <c r="S837" t="s">
        <v>1835</v>
      </c>
      <c r="T837" t="s">
        <v>1443</v>
      </c>
      <c r="U837" t="s">
        <v>1283</v>
      </c>
      <c r="V837" t="s">
        <v>463</v>
      </c>
      <c r="W837" t="s">
        <v>982</v>
      </c>
      <c r="X837" t="s">
        <v>174</v>
      </c>
      <c r="Y837" t="s">
        <v>45</v>
      </c>
      <c r="Z837">
        <v>20</v>
      </c>
      <c r="AA837">
        <v>6</v>
      </c>
      <c r="AB837" t="s">
        <v>46</v>
      </c>
      <c r="AC837" t="s">
        <v>47</v>
      </c>
      <c r="AD837" t="s">
        <v>2113</v>
      </c>
      <c r="AE837" t="s">
        <v>2114</v>
      </c>
    </row>
    <row r="838" spans="1:31" x14ac:dyDescent="0.2">
      <c r="A838" t="s">
        <v>31</v>
      </c>
      <c r="B838">
        <v>2021</v>
      </c>
      <c r="C838">
        <v>21</v>
      </c>
      <c r="D838" s="1">
        <v>44312</v>
      </c>
      <c r="E838" t="s">
        <v>458</v>
      </c>
      <c r="F838" t="s">
        <v>2115</v>
      </c>
      <c r="G838" t="s">
        <v>2080</v>
      </c>
      <c r="H838" t="s">
        <v>36</v>
      </c>
      <c r="I838" t="s">
        <v>36</v>
      </c>
      <c r="J838" t="s">
        <v>37</v>
      </c>
      <c r="K838">
        <v>123</v>
      </c>
      <c r="L838">
        <v>9</v>
      </c>
      <c r="M838">
        <v>126</v>
      </c>
      <c r="N838">
        <v>5</v>
      </c>
      <c r="O838" t="s">
        <v>36</v>
      </c>
      <c r="P838" t="s">
        <v>38</v>
      </c>
      <c r="Q838">
        <v>0</v>
      </c>
      <c r="R838">
        <v>5</v>
      </c>
      <c r="S838" t="s">
        <v>1364</v>
      </c>
      <c r="T838" t="s">
        <v>1772</v>
      </c>
      <c r="U838" t="s">
        <v>604</v>
      </c>
      <c r="V838" t="s">
        <v>1417</v>
      </c>
      <c r="W838" t="s">
        <v>111</v>
      </c>
      <c r="X838" t="s">
        <v>1189</v>
      </c>
      <c r="Y838" t="s">
        <v>45</v>
      </c>
      <c r="Z838">
        <v>20</v>
      </c>
      <c r="AA838">
        <v>6</v>
      </c>
      <c r="AB838" t="s">
        <v>46</v>
      </c>
      <c r="AC838" t="s">
        <v>47</v>
      </c>
      <c r="AD838" t="s">
        <v>2116</v>
      </c>
      <c r="AE838" t="s">
        <v>2117</v>
      </c>
    </row>
    <row r="839" spans="1:31" x14ac:dyDescent="0.2">
      <c r="A839" t="s">
        <v>31</v>
      </c>
      <c r="B839">
        <v>2021</v>
      </c>
      <c r="C839">
        <v>22</v>
      </c>
      <c r="D839" s="1">
        <v>44313</v>
      </c>
      <c r="E839" t="s">
        <v>458</v>
      </c>
      <c r="F839" t="s">
        <v>2115</v>
      </c>
      <c r="G839" t="s">
        <v>35</v>
      </c>
      <c r="H839" t="s">
        <v>1820</v>
      </c>
      <c r="I839" t="s">
        <v>1820</v>
      </c>
      <c r="J839" t="s">
        <v>37</v>
      </c>
      <c r="K839">
        <v>171</v>
      </c>
      <c r="L839">
        <v>5</v>
      </c>
      <c r="M839">
        <v>170</v>
      </c>
      <c r="N839">
        <v>4</v>
      </c>
      <c r="O839" t="s">
        <v>35</v>
      </c>
      <c r="P839" t="s">
        <v>38</v>
      </c>
      <c r="Q839">
        <v>1</v>
      </c>
      <c r="R839">
        <v>0</v>
      </c>
      <c r="S839" t="s">
        <v>300</v>
      </c>
      <c r="T839" t="s">
        <v>1279</v>
      </c>
      <c r="U839" t="s">
        <v>111</v>
      </c>
      <c r="V839" t="s">
        <v>939</v>
      </c>
      <c r="W839" t="s">
        <v>146</v>
      </c>
      <c r="X839" t="s">
        <v>455</v>
      </c>
      <c r="Y839" t="s">
        <v>45</v>
      </c>
      <c r="Z839">
        <v>20</v>
      </c>
      <c r="AA839">
        <v>6</v>
      </c>
      <c r="AB839" t="s">
        <v>46</v>
      </c>
      <c r="AC839" t="s">
        <v>47</v>
      </c>
      <c r="AD839" t="s">
        <v>2118</v>
      </c>
      <c r="AE839" t="s">
        <v>2119</v>
      </c>
    </row>
    <row r="840" spans="1:31" x14ac:dyDescent="0.2">
      <c r="A840" t="s">
        <v>31</v>
      </c>
      <c r="B840">
        <v>2021</v>
      </c>
      <c r="C840">
        <v>23</v>
      </c>
      <c r="D840" s="1">
        <v>44314</v>
      </c>
      <c r="E840" t="s">
        <v>63</v>
      </c>
      <c r="F840" t="s">
        <v>2120</v>
      </c>
      <c r="G840" t="s">
        <v>968</v>
      </c>
      <c r="H840" t="s">
        <v>53</v>
      </c>
      <c r="I840" t="s">
        <v>968</v>
      </c>
      <c r="J840" t="s">
        <v>54</v>
      </c>
      <c r="K840">
        <v>171</v>
      </c>
      <c r="L840">
        <v>3</v>
      </c>
      <c r="M840">
        <v>173</v>
      </c>
      <c r="N840">
        <v>3</v>
      </c>
      <c r="O840" t="s">
        <v>53</v>
      </c>
      <c r="P840" t="s">
        <v>38</v>
      </c>
      <c r="Q840">
        <v>0</v>
      </c>
      <c r="R840">
        <v>7</v>
      </c>
      <c r="S840" t="s">
        <v>2038</v>
      </c>
      <c r="T840" t="s">
        <v>40</v>
      </c>
      <c r="U840" t="s">
        <v>105</v>
      </c>
      <c r="V840" t="s">
        <v>158</v>
      </c>
      <c r="W840" t="s">
        <v>463</v>
      </c>
      <c r="X840" t="s">
        <v>1210</v>
      </c>
      <c r="Y840" t="s">
        <v>45</v>
      </c>
      <c r="Z840">
        <v>20</v>
      </c>
      <c r="AA840">
        <v>6</v>
      </c>
      <c r="AB840" t="s">
        <v>46</v>
      </c>
      <c r="AC840" t="s">
        <v>47</v>
      </c>
      <c r="AD840" t="s">
        <v>2121</v>
      </c>
      <c r="AE840" t="s">
        <v>2122</v>
      </c>
    </row>
    <row r="841" spans="1:31" x14ac:dyDescent="0.2">
      <c r="A841" t="s">
        <v>31</v>
      </c>
      <c r="B841">
        <v>2021</v>
      </c>
      <c r="C841">
        <v>24</v>
      </c>
      <c r="D841" s="1">
        <v>44315</v>
      </c>
      <c r="E841" t="s">
        <v>63</v>
      </c>
      <c r="F841" t="s">
        <v>2120</v>
      </c>
      <c r="G841" t="s">
        <v>66</v>
      </c>
      <c r="H841" t="s">
        <v>87</v>
      </c>
      <c r="I841" t="s">
        <v>87</v>
      </c>
      <c r="J841" t="s">
        <v>37</v>
      </c>
      <c r="K841">
        <v>171</v>
      </c>
      <c r="L841">
        <v>4</v>
      </c>
      <c r="M841">
        <v>172</v>
      </c>
      <c r="N841">
        <v>3</v>
      </c>
      <c r="O841" t="s">
        <v>87</v>
      </c>
      <c r="P841" t="s">
        <v>38</v>
      </c>
      <c r="Q841">
        <v>0</v>
      </c>
      <c r="R841">
        <v>7</v>
      </c>
      <c r="S841" t="s">
        <v>1434</v>
      </c>
      <c r="T841" t="s">
        <v>1553</v>
      </c>
      <c r="U841" t="s">
        <v>1283</v>
      </c>
      <c r="V841" t="s">
        <v>463</v>
      </c>
      <c r="W841" t="s">
        <v>105</v>
      </c>
      <c r="X841" t="s">
        <v>982</v>
      </c>
      <c r="Y841" t="s">
        <v>45</v>
      </c>
      <c r="Z841">
        <v>20</v>
      </c>
      <c r="AA841">
        <v>6</v>
      </c>
      <c r="AB841" t="s">
        <v>46</v>
      </c>
      <c r="AC841" t="s">
        <v>47</v>
      </c>
      <c r="AD841" t="s">
        <v>2123</v>
      </c>
      <c r="AE841" t="s">
        <v>2124</v>
      </c>
    </row>
    <row r="842" spans="1:31" x14ac:dyDescent="0.2">
      <c r="A842" t="s">
        <v>31</v>
      </c>
      <c r="B842">
        <v>2021</v>
      </c>
      <c r="C842">
        <v>25</v>
      </c>
      <c r="D842" s="1">
        <v>44315</v>
      </c>
      <c r="E842" t="s">
        <v>458</v>
      </c>
      <c r="F842" t="s">
        <v>2115</v>
      </c>
      <c r="G842" t="s">
        <v>36</v>
      </c>
      <c r="H842" t="s">
        <v>1820</v>
      </c>
      <c r="I842" t="s">
        <v>1820</v>
      </c>
      <c r="J842" t="s">
        <v>37</v>
      </c>
      <c r="K842">
        <v>154</v>
      </c>
      <c r="L842">
        <v>6</v>
      </c>
      <c r="M842">
        <v>156</v>
      </c>
      <c r="N842">
        <v>3</v>
      </c>
      <c r="O842" t="s">
        <v>1820</v>
      </c>
      <c r="P842" t="s">
        <v>38</v>
      </c>
      <c r="Q842">
        <v>0</v>
      </c>
      <c r="R842">
        <v>7</v>
      </c>
      <c r="S842" t="s">
        <v>1835</v>
      </c>
      <c r="T842" t="s">
        <v>1772</v>
      </c>
      <c r="U842" t="s">
        <v>146</v>
      </c>
      <c r="V842" t="s">
        <v>1417</v>
      </c>
      <c r="W842" t="s">
        <v>1189</v>
      </c>
      <c r="X842" t="s">
        <v>1197</v>
      </c>
      <c r="Y842" t="s">
        <v>45</v>
      </c>
      <c r="Z842">
        <v>20</v>
      </c>
      <c r="AA842">
        <v>6</v>
      </c>
      <c r="AB842" t="s">
        <v>46</v>
      </c>
      <c r="AC842" t="s">
        <v>47</v>
      </c>
      <c r="AD842" t="s">
        <v>2125</v>
      </c>
      <c r="AE842" t="s">
        <v>2126</v>
      </c>
    </row>
    <row r="843" spans="1:31" x14ac:dyDescent="0.2">
      <c r="A843" t="s">
        <v>31</v>
      </c>
      <c r="B843">
        <v>2021</v>
      </c>
      <c r="C843">
        <v>26</v>
      </c>
      <c r="D843" s="1">
        <v>44316</v>
      </c>
      <c r="E843" t="s">
        <v>458</v>
      </c>
      <c r="F843" t="s">
        <v>2115</v>
      </c>
      <c r="G843" t="s">
        <v>2080</v>
      </c>
      <c r="H843" t="s">
        <v>35</v>
      </c>
      <c r="I843" t="s">
        <v>35</v>
      </c>
      <c r="J843" t="s">
        <v>37</v>
      </c>
      <c r="K843">
        <v>179</v>
      </c>
      <c r="L843">
        <v>5</v>
      </c>
      <c r="M843">
        <v>145</v>
      </c>
      <c r="N843">
        <v>8</v>
      </c>
      <c r="O843" t="s">
        <v>2080</v>
      </c>
      <c r="P843" t="s">
        <v>38</v>
      </c>
      <c r="Q843">
        <v>34</v>
      </c>
      <c r="R843">
        <v>0</v>
      </c>
      <c r="S843" t="s">
        <v>2127</v>
      </c>
      <c r="T843" t="s">
        <v>1965</v>
      </c>
      <c r="U843" t="s">
        <v>111</v>
      </c>
      <c r="V843" t="s">
        <v>939</v>
      </c>
      <c r="W843" t="s">
        <v>455</v>
      </c>
      <c r="X843" t="s">
        <v>1417</v>
      </c>
      <c r="Y843" t="s">
        <v>45</v>
      </c>
      <c r="Z843">
        <v>20</v>
      </c>
      <c r="AA843">
        <v>6</v>
      </c>
      <c r="AB843" t="s">
        <v>46</v>
      </c>
      <c r="AC843" t="s">
        <v>47</v>
      </c>
      <c r="AD843" t="s">
        <v>2128</v>
      </c>
      <c r="AE843" t="s">
        <v>2129</v>
      </c>
    </row>
    <row r="844" spans="1:31" x14ac:dyDescent="0.2">
      <c r="A844" t="s">
        <v>31</v>
      </c>
      <c r="B844">
        <v>2021</v>
      </c>
      <c r="C844">
        <v>27</v>
      </c>
      <c r="D844" s="1">
        <v>44317</v>
      </c>
      <c r="E844" t="s">
        <v>63</v>
      </c>
      <c r="F844" t="s">
        <v>2120</v>
      </c>
      <c r="G844" t="s">
        <v>53</v>
      </c>
      <c r="H844" t="s">
        <v>87</v>
      </c>
      <c r="I844" t="s">
        <v>87</v>
      </c>
      <c r="J844" t="s">
        <v>37</v>
      </c>
      <c r="K844">
        <v>218</v>
      </c>
      <c r="L844">
        <v>4</v>
      </c>
      <c r="M844">
        <v>219</v>
      </c>
      <c r="N844">
        <v>6</v>
      </c>
      <c r="O844" t="s">
        <v>87</v>
      </c>
      <c r="P844" t="s">
        <v>38</v>
      </c>
      <c r="Q844">
        <v>0</v>
      </c>
      <c r="R844">
        <v>4</v>
      </c>
      <c r="S844" t="s">
        <v>568</v>
      </c>
      <c r="T844" t="s">
        <v>40</v>
      </c>
      <c r="U844" t="s">
        <v>463</v>
      </c>
      <c r="V844" t="s">
        <v>158</v>
      </c>
      <c r="W844" t="s">
        <v>1283</v>
      </c>
      <c r="X844" t="s">
        <v>174</v>
      </c>
      <c r="Y844" t="s">
        <v>45</v>
      </c>
      <c r="Z844">
        <v>20</v>
      </c>
      <c r="AA844">
        <v>6</v>
      </c>
      <c r="AB844" t="s">
        <v>46</v>
      </c>
      <c r="AC844" t="s">
        <v>47</v>
      </c>
      <c r="AD844" t="s">
        <v>2130</v>
      </c>
      <c r="AE844" t="s">
        <v>2131</v>
      </c>
    </row>
    <row r="845" spans="1:31" x14ac:dyDescent="0.2">
      <c r="A845" t="s">
        <v>31</v>
      </c>
      <c r="B845">
        <v>2021</v>
      </c>
      <c r="C845">
        <v>28</v>
      </c>
      <c r="D845" s="1">
        <v>44318</v>
      </c>
      <c r="E845" t="s">
        <v>63</v>
      </c>
      <c r="F845" t="s">
        <v>2120</v>
      </c>
      <c r="G845" t="s">
        <v>66</v>
      </c>
      <c r="H845" t="s">
        <v>968</v>
      </c>
      <c r="I845" t="s">
        <v>968</v>
      </c>
      <c r="J845" t="s">
        <v>37</v>
      </c>
      <c r="K845">
        <v>220</v>
      </c>
      <c r="L845">
        <v>3</v>
      </c>
      <c r="M845">
        <v>165</v>
      </c>
      <c r="N845">
        <v>8</v>
      </c>
      <c r="O845" t="s">
        <v>66</v>
      </c>
      <c r="P845" t="s">
        <v>38</v>
      </c>
      <c r="Q845">
        <v>55</v>
      </c>
      <c r="R845">
        <v>0</v>
      </c>
      <c r="S845" t="s">
        <v>1599</v>
      </c>
      <c r="T845" t="s">
        <v>1443</v>
      </c>
      <c r="U845" t="s">
        <v>105</v>
      </c>
      <c r="V845" t="s">
        <v>1283</v>
      </c>
      <c r="W845" t="s">
        <v>1210</v>
      </c>
      <c r="X845" t="s">
        <v>1728</v>
      </c>
      <c r="Y845" t="s">
        <v>45</v>
      </c>
      <c r="Z845">
        <v>20</v>
      </c>
      <c r="AA845">
        <v>6</v>
      </c>
      <c r="AB845" t="s">
        <v>46</v>
      </c>
      <c r="AC845" t="s">
        <v>47</v>
      </c>
      <c r="AD845" t="s">
        <v>2132</v>
      </c>
      <c r="AE845" t="s">
        <v>2133</v>
      </c>
    </row>
    <row r="846" spans="1:31" x14ac:dyDescent="0.2">
      <c r="A846" t="s">
        <v>31</v>
      </c>
      <c r="B846">
        <v>2021</v>
      </c>
      <c r="C846">
        <v>29</v>
      </c>
      <c r="D846" s="1">
        <v>44318</v>
      </c>
      <c r="E846" t="s">
        <v>458</v>
      </c>
      <c r="F846" t="s">
        <v>2115</v>
      </c>
      <c r="G846" t="s">
        <v>2080</v>
      </c>
      <c r="H846" t="s">
        <v>1820</v>
      </c>
      <c r="I846" t="s">
        <v>1820</v>
      </c>
      <c r="J846" t="s">
        <v>37</v>
      </c>
      <c r="K846">
        <v>166</v>
      </c>
      <c r="L846">
        <v>6</v>
      </c>
      <c r="M846">
        <v>167</v>
      </c>
      <c r="N846">
        <v>3</v>
      </c>
      <c r="O846" t="s">
        <v>1820</v>
      </c>
      <c r="P846" t="s">
        <v>38</v>
      </c>
      <c r="Q846">
        <v>0</v>
      </c>
      <c r="R846">
        <v>7</v>
      </c>
      <c r="S846" t="s">
        <v>1300</v>
      </c>
      <c r="T846" t="s">
        <v>1965</v>
      </c>
      <c r="U846" t="s">
        <v>146</v>
      </c>
      <c r="V846" t="s">
        <v>1189</v>
      </c>
      <c r="W846" t="s">
        <v>455</v>
      </c>
      <c r="X846" t="s">
        <v>1197</v>
      </c>
      <c r="Y846" t="s">
        <v>45</v>
      </c>
      <c r="Z846">
        <v>20</v>
      </c>
      <c r="AA846">
        <v>6</v>
      </c>
      <c r="AB846" t="s">
        <v>46</v>
      </c>
      <c r="AC846" t="s">
        <v>47</v>
      </c>
      <c r="AD846" t="s">
        <v>2134</v>
      </c>
      <c r="AE846" t="s">
        <v>2135</v>
      </c>
    </row>
    <row r="847" spans="1:31" x14ac:dyDescent="0.2">
      <c r="A847" t="s">
        <v>31</v>
      </c>
      <c r="B847">
        <v>2021</v>
      </c>
      <c r="C847">
        <v>30</v>
      </c>
      <c r="D847" s="1">
        <v>44458</v>
      </c>
      <c r="E847" t="s">
        <v>2136</v>
      </c>
      <c r="F847" t="s">
        <v>1151</v>
      </c>
      <c r="G847" t="s">
        <v>53</v>
      </c>
      <c r="H847" t="s">
        <v>87</v>
      </c>
      <c r="I847" t="s">
        <v>53</v>
      </c>
      <c r="J847" t="s">
        <v>54</v>
      </c>
      <c r="K847">
        <v>156</v>
      </c>
      <c r="L847">
        <v>7</v>
      </c>
      <c r="M847">
        <v>136</v>
      </c>
      <c r="N847">
        <v>8</v>
      </c>
      <c r="O847" t="s">
        <v>53</v>
      </c>
      <c r="P847" t="s">
        <v>38</v>
      </c>
      <c r="Q847">
        <v>20</v>
      </c>
      <c r="R847">
        <v>0</v>
      </c>
      <c r="S847" t="s">
        <v>2038</v>
      </c>
      <c r="T847" t="s">
        <v>40</v>
      </c>
      <c r="U847" t="s">
        <v>989</v>
      </c>
      <c r="V847" t="s">
        <v>1139</v>
      </c>
      <c r="W847" t="s">
        <v>146</v>
      </c>
      <c r="X847" t="s">
        <v>1189</v>
      </c>
      <c r="Y847" t="s">
        <v>45</v>
      </c>
      <c r="Z847">
        <v>20</v>
      </c>
      <c r="AA847">
        <v>6</v>
      </c>
      <c r="AB847" t="s">
        <v>46</v>
      </c>
      <c r="AC847" t="s">
        <v>47</v>
      </c>
      <c r="AD847" t="s">
        <v>2137</v>
      </c>
      <c r="AE847" t="s">
        <v>2138</v>
      </c>
    </row>
    <row r="848" spans="1:31" x14ac:dyDescent="0.2">
      <c r="A848" t="s">
        <v>31</v>
      </c>
      <c r="B848">
        <v>2021</v>
      </c>
      <c r="C848">
        <v>31</v>
      </c>
      <c r="D848" s="1">
        <v>44459</v>
      </c>
      <c r="E848" t="s">
        <v>1137</v>
      </c>
      <c r="F848" t="s">
        <v>2139</v>
      </c>
      <c r="G848" t="s">
        <v>35</v>
      </c>
      <c r="H848" t="s">
        <v>36</v>
      </c>
      <c r="I848" t="s">
        <v>35</v>
      </c>
      <c r="J848" t="s">
        <v>54</v>
      </c>
      <c r="K848">
        <v>92</v>
      </c>
      <c r="L848">
        <v>10</v>
      </c>
      <c r="M848">
        <v>94</v>
      </c>
      <c r="N848">
        <v>1</v>
      </c>
      <c r="O848" t="s">
        <v>36</v>
      </c>
      <c r="P848" t="s">
        <v>38</v>
      </c>
      <c r="Q848">
        <v>0</v>
      </c>
      <c r="R848">
        <v>9</v>
      </c>
      <c r="S848" t="s">
        <v>2032</v>
      </c>
      <c r="T848" t="s">
        <v>1553</v>
      </c>
      <c r="U848" t="s">
        <v>1283</v>
      </c>
      <c r="V848" t="s">
        <v>111</v>
      </c>
      <c r="W848" t="s">
        <v>939</v>
      </c>
      <c r="X848" t="s">
        <v>1210</v>
      </c>
      <c r="Y848" t="s">
        <v>45</v>
      </c>
      <c r="Z848">
        <v>20</v>
      </c>
      <c r="AA848">
        <v>6</v>
      </c>
      <c r="AB848" t="s">
        <v>46</v>
      </c>
      <c r="AC848" t="s">
        <v>47</v>
      </c>
      <c r="AD848" t="s">
        <v>2140</v>
      </c>
      <c r="AE848" t="s">
        <v>2141</v>
      </c>
    </row>
    <row r="849" spans="1:31" x14ac:dyDescent="0.2">
      <c r="A849" t="s">
        <v>31</v>
      </c>
      <c r="B849">
        <v>2021</v>
      </c>
      <c r="C849">
        <v>32</v>
      </c>
      <c r="D849" s="1">
        <v>44460</v>
      </c>
      <c r="E849" t="s">
        <v>2136</v>
      </c>
      <c r="F849" t="s">
        <v>1151</v>
      </c>
      <c r="G849" t="s">
        <v>66</v>
      </c>
      <c r="H849" t="s">
        <v>2080</v>
      </c>
      <c r="I849" t="s">
        <v>2080</v>
      </c>
      <c r="J849" t="s">
        <v>37</v>
      </c>
      <c r="K849">
        <v>185</v>
      </c>
      <c r="L849">
        <v>10</v>
      </c>
      <c r="M849">
        <v>183</v>
      </c>
      <c r="N849">
        <v>4</v>
      </c>
      <c r="O849" t="s">
        <v>66</v>
      </c>
      <c r="P849" t="s">
        <v>38</v>
      </c>
      <c r="Q849">
        <v>2</v>
      </c>
      <c r="R849">
        <v>0</v>
      </c>
      <c r="S849" t="s">
        <v>2142</v>
      </c>
      <c r="T849" t="s">
        <v>1772</v>
      </c>
      <c r="U849" t="s">
        <v>146</v>
      </c>
      <c r="V849" t="s">
        <v>2143</v>
      </c>
      <c r="W849" t="s">
        <v>463</v>
      </c>
      <c r="X849" t="s">
        <v>1417</v>
      </c>
      <c r="Y849" t="s">
        <v>45</v>
      </c>
      <c r="Z849">
        <v>20</v>
      </c>
      <c r="AA849">
        <v>6</v>
      </c>
      <c r="AB849" t="s">
        <v>46</v>
      </c>
      <c r="AC849" t="s">
        <v>47</v>
      </c>
      <c r="AD849" t="s">
        <v>2144</v>
      </c>
      <c r="AE849" t="s">
        <v>2145</v>
      </c>
    </row>
    <row r="850" spans="1:31" x14ac:dyDescent="0.2">
      <c r="A850" t="s">
        <v>31</v>
      </c>
      <c r="B850">
        <v>2021</v>
      </c>
      <c r="C850">
        <v>33</v>
      </c>
      <c r="D850" s="1">
        <v>44461</v>
      </c>
      <c r="E850" t="s">
        <v>2136</v>
      </c>
      <c r="F850" t="s">
        <v>1151</v>
      </c>
      <c r="G850" t="s">
        <v>968</v>
      </c>
      <c r="H850" t="s">
        <v>1820</v>
      </c>
      <c r="I850" t="s">
        <v>968</v>
      </c>
      <c r="J850" t="s">
        <v>54</v>
      </c>
      <c r="K850">
        <v>134</v>
      </c>
      <c r="L850">
        <v>9</v>
      </c>
      <c r="M850">
        <v>139</v>
      </c>
      <c r="N850">
        <v>2</v>
      </c>
      <c r="O850" t="s">
        <v>1820</v>
      </c>
      <c r="P850" t="s">
        <v>38</v>
      </c>
      <c r="Q850">
        <v>0</v>
      </c>
      <c r="R850">
        <v>8</v>
      </c>
      <c r="S850" t="s">
        <v>2010</v>
      </c>
      <c r="T850" t="s">
        <v>1279</v>
      </c>
      <c r="U850" t="s">
        <v>463</v>
      </c>
      <c r="V850" t="s">
        <v>1139</v>
      </c>
      <c r="W850" t="s">
        <v>455</v>
      </c>
      <c r="X850" t="s">
        <v>174</v>
      </c>
      <c r="Y850" t="s">
        <v>45</v>
      </c>
      <c r="Z850">
        <v>20</v>
      </c>
      <c r="AA850">
        <v>6</v>
      </c>
      <c r="AB850" t="s">
        <v>46</v>
      </c>
      <c r="AC850" t="s">
        <v>47</v>
      </c>
      <c r="AD850" t="s">
        <v>2146</v>
      </c>
      <c r="AE850" t="s">
        <v>2147</v>
      </c>
    </row>
    <row r="851" spans="1:31" x14ac:dyDescent="0.2">
      <c r="A851" t="s">
        <v>31</v>
      </c>
      <c r="B851">
        <v>2021</v>
      </c>
      <c r="C851">
        <v>34</v>
      </c>
      <c r="D851" s="1">
        <v>44462</v>
      </c>
      <c r="E851" t="s">
        <v>1137</v>
      </c>
      <c r="F851" t="s">
        <v>2139</v>
      </c>
      <c r="G851" t="s">
        <v>87</v>
      </c>
      <c r="H851" t="s">
        <v>36</v>
      </c>
      <c r="I851" t="s">
        <v>36</v>
      </c>
      <c r="J851" t="s">
        <v>37</v>
      </c>
      <c r="K851">
        <v>155</v>
      </c>
      <c r="L851">
        <v>6</v>
      </c>
      <c r="M851">
        <v>159</v>
      </c>
      <c r="N851">
        <v>3</v>
      </c>
      <c r="O851" t="s">
        <v>36</v>
      </c>
      <c r="P851" t="s">
        <v>38</v>
      </c>
      <c r="Q851">
        <v>0</v>
      </c>
      <c r="R851">
        <v>7</v>
      </c>
      <c r="S851" t="s">
        <v>835</v>
      </c>
      <c r="T851" t="s">
        <v>1553</v>
      </c>
      <c r="U851" t="s">
        <v>111</v>
      </c>
      <c r="V851" t="s">
        <v>939</v>
      </c>
      <c r="W851" t="s">
        <v>1283</v>
      </c>
      <c r="X851" t="s">
        <v>982</v>
      </c>
      <c r="Y851" t="s">
        <v>45</v>
      </c>
      <c r="Z851">
        <v>20</v>
      </c>
      <c r="AA851">
        <v>6</v>
      </c>
      <c r="AB851" t="s">
        <v>46</v>
      </c>
      <c r="AC851" t="s">
        <v>47</v>
      </c>
      <c r="AD851" t="s">
        <v>2148</v>
      </c>
      <c r="AE851" t="s">
        <v>2149</v>
      </c>
    </row>
    <row r="852" spans="1:31" x14ac:dyDescent="0.2">
      <c r="A852" t="s">
        <v>31</v>
      </c>
      <c r="B852">
        <v>2021</v>
      </c>
      <c r="C852">
        <v>35</v>
      </c>
      <c r="D852" s="1">
        <v>44463</v>
      </c>
      <c r="E852" t="s">
        <v>2150</v>
      </c>
      <c r="F852" t="s">
        <v>1142</v>
      </c>
      <c r="G852" t="s">
        <v>35</v>
      </c>
      <c r="H852" t="s">
        <v>53</v>
      </c>
      <c r="I852" t="s">
        <v>53</v>
      </c>
      <c r="J852" t="s">
        <v>37</v>
      </c>
      <c r="K852">
        <v>156</v>
      </c>
      <c r="L852">
        <v>6</v>
      </c>
      <c r="M852">
        <v>157</v>
      </c>
      <c r="N852">
        <v>4</v>
      </c>
      <c r="O852" t="s">
        <v>53</v>
      </c>
      <c r="P852" t="s">
        <v>38</v>
      </c>
      <c r="Q852">
        <v>0</v>
      </c>
      <c r="R852">
        <v>6</v>
      </c>
      <c r="S852" t="s">
        <v>219</v>
      </c>
      <c r="T852" t="s">
        <v>40</v>
      </c>
      <c r="U852" t="s">
        <v>146</v>
      </c>
      <c r="V852" t="s">
        <v>989</v>
      </c>
      <c r="W852" t="s">
        <v>2143</v>
      </c>
      <c r="X852" t="s">
        <v>1197</v>
      </c>
      <c r="Y852" t="s">
        <v>45</v>
      </c>
      <c r="Z852">
        <v>20</v>
      </c>
      <c r="AA852">
        <v>6</v>
      </c>
      <c r="AB852" t="s">
        <v>46</v>
      </c>
      <c r="AC852" t="s">
        <v>47</v>
      </c>
      <c r="AD852" t="s">
        <v>2151</v>
      </c>
      <c r="AE852" t="s">
        <v>2137</v>
      </c>
    </row>
    <row r="853" spans="1:31" x14ac:dyDescent="0.2">
      <c r="A853" t="s">
        <v>31</v>
      </c>
      <c r="B853">
        <v>2021</v>
      </c>
      <c r="C853">
        <v>36</v>
      </c>
      <c r="D853" s="1">
        <v>44464</v>
      </c>
      <c r="E853" t="s">
        <v>1137</v>
      </c>
      <c r="F853" t="s">
        <v>2139</v>
      </c>
      <c r="G853" t="s">
        <v>1820</v>
      </c>
      <c r="H853" t="s">
        <v>66</v>
      </c>
      <c r="I853" t="s">
        <v>66</v>
      </c>
      <c r="J853" t="s">
        <v>37</v>
      </c>
      <c r="K853">
        <v>154</v>
      </c>
      <c r="L853">
        <v>6</v>
      </c>
      <c r="M853">
        <v>121</v>
      </c>
      <c r="N853">
        <v>6</v>
      </c>
      <c r="O853" t="s">
        <v>1820</v>
      </c>
      <c r="P853" t="s">
        <v>38</v>
      </c>
      <c r="Q853">
        <v>33</v>
      </c>
      <c r="R853">
        <v>0</v>
      </c>
      <c r="S853" t="s">
        <v>1322</v>
      </c>
      <c r="T853" t="s">
        <v>1553</v>
      </c>
      <c r="U853" t="s">
        <v>1283</v>
      </c>
      <c r="V853" t="s">
        <v>1210</v>
      </c>
      <c r="W853" t="s">
        <v>111</v>
      </c>
      <c r="X853" t="s">
        <v>982</v>
      </c>
      <c r="Y853" t="s">
        <v>45</v>
      </c>
      <c r="Z853">
        <v>20</v>
      </c>
      <c r="AA853">
        <v>6</v>
      </c>
      <c r="AB853" t="s">
        <v>46</v>
      </c>
      <c r="AC853" t="s">
        <v>47</v>
      </c>
      <c r="AD853" t="s">
        <v>2152</v>
      </c>
      <c r="AE853" t="s">
        <v>2153</v>
      </c>
    </row>
    <row r="854" spans="1:31" x14ac:dyDescent="0.2">
      <c r="A854" t="s">
        <v>31</v>
      </c>
      <c r="B854">
        <v>2021</v>
      </c>
      <c r="C854">
        <v>37</v>
      </c>
      <c r="D854" s="1">
        <v>44464</v>
      </c>
      <c r="E854" t="s">
        <v>2150</v>
      </c>
      <c r="F854" t="s">
        <v>1142</v>
      </c>
      <c r="G854" t="s">
        <v>2080</v>
      </c>
      <c r="H854" t="s">
        <v>968</v>
      </c>
      <c r="I854" t="s">
        <v>968</v>
      </c>
      <c r="J854" t="s">
        <v>37</v>
      </c>
      <c r="K854">
        <v>125</v>
      </c>
      <c r="L854">
        <v>7</v>
      </c>
      <c r="M854">
        <v>120</v>
      </c>
      <c r="N854">
        <v>7</v>
      </c>
      <c r="O854" t="s">
        <v>2080</v>
      </c>
      <c r="P854" t="s">
        <v>38</v>
      </c>
      <c r="Q854">
        <v>5</v>
      </c>
      <c r="R854">
        <v>0</v>
      </c>
      <c r="S854" t="s">
        <v>2154</v>
      </c>
      <c r="T854" t="s">
        <v>1772</v>
      </c>
      <c r="U854" t="s">
        <v>1139</v>
      </c>
      <c r="V854" t="s">
        <v>1417</v>
      </c>
      <c r="W854" t="s">
        <v>463</v>
      </c>
      <c r="X854" t="s">
        <v>455</v>
      </c>
      <c r="Y854" t="s">
        <v>45</v>
      </c>
      <c r="Z854">
        <v>20</v>
      </c>
      <c r="AA854">
        <v>6</v>
      </c>
      <c r="AB854" t="s">
        <v>46</v>
      </c>
      <c r="AC854" t="s">
        <v>47</v>
      </c>
      <c r="AD854" t="s">
        <v>2155</v>
      </c>
      <c r="AE854" t="s">
        <v>2146</v>
      </c>
    </row>
    <row r="855" spans="1:31" x14ac:dyDescent="0.2">
      <c r="A855" t="s">
        <v>31</v>
      </c>
      <c r="B855">
        <v>2021</v>
      </c>
      <c r="C855">
        <v>38</v>
      </c>
      <c r="D855" s="1">
        <v>44465</v>
      </c>
      <c r="E855" t="s">
        <v>1137</v>
      </c>
      <c r="F855" t="s">
        <v>2139</v>
      </c>
      <c r="G855" t="s">
        <v>36</v>
      </c>
      <c r="H855" t="s">
        <v>53</v>
      </c>
      <c r="I855" t="s">
        <v>36</v>
      </c>
      <c r="J855" t="s">
        <v>54</v>
      </c>
      <c r="K855">
        <v>171</v>
      </c>
      <c r="L855">
        <v>6</v>
      </c>
      <c r="M855">
        <v>172</v>
      </c>
      <c r="N855">
        <v>8</v>
      </c>
      <c r="O855" t="s">
        <v>53</v>
      </c>
      <c r="P855" t="s">
        <v>38</v>
      </c>
      <c r="Q855">
        <v>0</v>
      </c>
      <c r="R855">
        <v>2</v>
      </c>
      <c r="S855" t="s">
        <v>802</v>
      </c>
      <c r="T855" t="s">
        <v>1553</v>
      </c>
      <c r="U855" t="s">
        <v>1283</v>
      </c>
      <c r="V855" t="s">
        <v>982</v>
      </c>
      <c r="W855" t="s">
        <v>939</v>
      </c>
      <c r="X855" t="s">
        <v>1210</v>
      </c>
      <c r="Y855" t="s">
        <v>45</v>
      </c>
      <c r="Z855">
        <v>20</v>
      </c>
      <c r="AA855">
        <v>6</v>
      </c>
      <c r="AB855" t="s">
        <v>46</v>
      </c>
      <c r="AC855" t="s">
        <v>47</v>
      </c>
      <c r="AD855" t="s">
        <v>2149</v>
      </c>
      <c r="AE855" t="s">
        <v>2156</v>
      </c>
    </row>
    <row r="856" spans="1:31" x14ac:dyDescent="0.2">
      <c r="A856" t="s">
        <v>31</v>
      </c>
      <c r="B856">
        <v>2021</v>
      </c>
      <c r="C856">
        <v>39</v>
      </c>
      <c r="D856" s="1">
        <v>44465</v>
      </c>
      <c r="E856" t="s">
        <v>2136</v>
      </c>
      <c r="F856" t="s">
        <v>1151</v>
      </c>
      <c r="G856" t="s">
        <v>35</v>
      </c>
      <c r="H856" t="s">
        <v>87</v>
      </c>
      <c r="I856" t="s">
        <v>87</v>
      </c>
      <c r="J856" t="s">
        <v>37</v>
      </c>
      <c r="K856">
        <v>165</v>
      </c>
      <c r="L856">
        <v>6</v>
      </c>
      <c r="M856">
        <v>111</v>
      </c>
      <c r="N856">
        <v>10</v>
      </c>
      <c r="O856" t="s">
        <v>35</v>
      </c>
      <c r="P856" t="s">
        <v>38</v>
      </c>
      <c r="Q856">
        <v>54</v>
      </c>
      <c r="R856">
        <v>0</v>
      </c>
      <c r="S856" t="s">
        <v>1146</v>
      </c>
      <c r="T856" t="s">
        <v>1279</v>
      </c>
      <c r="U856" t="s">
        <v>146</v>
      </c>
      <c r="V856" t="s">
        <v>2143</v>
      </c>
      <c r="W856" t="s">
        <v>989</v>
      </c>
      <c r="X856" t="s">
        <v>1728</v>
      </c>
      <c r="Y856" t="s">
        <v>45</v>
      </c>
      <c r="Z856">
        <v>20</v>
      </c>
      <c r="AA856">
        <v>6</v>
      </c>
      <c r="AB856" t="s">
        <v>46</v>
      </c>
      <c r="AC856" t="s">
        <v>47</v>
      </c>
      <c r="AD856" t="s">
        <v>2157</v>
      </c>
      <c r="AE856" t="s">
        <v>2158</v>
      </c>
    </row>
    <row r="857" spans="1:31" x14ac:dyDescent="0.2">
      <c r="A857" t="s">
        <v>31</v>
      </c>
      <c r="B857">
        <v>2021</v>
      </c>
      <c r="C857">
        <v>40</v>
      </c>
      <c r="D857" s="1">
        <v>44466</v>
      </c>
      <c r="E857" t="s">
        <v>2136</v>
      </c>
      <c r="F857" t="s">
        <v>1151</v>
      </c>
      <c r="G857" t="s">
        <v>66</v>
      </c>
      <c r="H857" t="s">
        <v>968</v>
      </c>
      <c r="I857" t="s">
        <v>66</v>
      </c>
      <c r="J857" t="s">
        <v>54</v>
      </c>
      <c r="K857">
        <v>164</v>
      </c>
      <c r="L857">
        <v>5</v>
      </c>
      <c r="M857">
        <v>167</v>
      </c>
      <c r="N857">
        <v>3</v>
      </c>
      <c r="O857" t="s">
        <v>968</v>
      </c>
      <c r="P857" t="s">
        <v>38</v>
      </c>
      <c r="Q857">
        <v>0</v>
      </c>
      <c r="R857">
        <v>7</v>
      </c>
      <c r="S857" t="s">
        <v>1702</v>
      </c>
      <c r="T857" t="s">
        <v>40</v>
      </c>
      <c r="U857" t="s">
        <v>463</v>
      </c>
      <c r="V857" t="s">
        <v>1197</v>
      </c>
      <c r="W857" t="s">
        <v>1139</v>
      </c>
      <c r="X857" t="s">
        <v>1189</v>
      </c>
      <c r="Y857" t="s">
        <v>45</v>
      </c>
      <c r="Z857">
        <v>20</v>
      </c>
      <c r="AA857">
        <v>6</v>
      </c>
      <c r="AB857" t="s">
        <v>46</v>
      </c>
      <c r="AC857" t="s">
        <v>47</v>
      </c>
      <c r="AD857" t="s">
        <v>2159</v>
      </c>
      <c r="AE857" t="s">
        <v>2160</v>
      </c>
    </row>
    <row r="858" spans="1:31" x14ac:dyDescent="0.2">
      <c r="A858" t="s">
        <v>31</v>
      </c>
      <c r="B858">
        <v>2021</v>
      </c>
      <c r="C858">
        <v>41</v>
      </c>
      <c r="D858" s="1">
        <v>44467</v>
      </c>
      <c r="E858" t="s">
        <v>2150</v>
      </c>
      <c r="F858" t="s">
        <v>1142</v>
      </c>
      <c r="G858" t="s">
        <v>1820</v>
      </c>
      <c r="H858" t="s">
        <v>36</v>
      </c>
      <c r="I858" t="s">
        <v>36</v>
      </c>
      <c r="J858" t="s">
        <v>37</v>
      </c>
      <c r="K858">
        <v>127</v>
      </c>
      <c r="L858">
        <v>9</v>
      </c>
      <c r="M858">
        <v>130</v>
      </c>
      <c r="N858">
        <v>7</v>
      </c>
      <c r="O858" t="s">
        <v>36</v>
      </c>
      <c r="P858" t="s">
        <v>38</v>
      </c>
      <c r="Q858">
        <v>0</v>
      </c>
      <c r="R858">
        <v>3</v>
      </c>
      <c r="S858" t="s">
        <v>835</v>
      </c>
      <c r="T858" t="s">
        <v>1772</v>
      </c>
      <c r="U858" t="s">
        <v>989</v>
      </c>
      <c r="V858" t="s">
        <v>1728</v>
      </c>
      <c r="W858" t="s">
        <v>146</v>
      </c>
      <c r="X858" t="s">
        <v>1417</v>
      </c>
      <c r="Y858" t="s">
        <v>45</v>
      </c>
      <c r="Z858">
        <v>20</v>
      </c>
      <c r="AA858">
        <v>6</v>
      </c>
      <c r="AB858" t="s">
        <v>46</v>
      </c>
      <c r="AC858" t="s">
        <v>47</v>
      </c>
      <c r="AD858" t="s">
        <v>2161</v>
      </c>
      <c r="AE858" t="s">
        <v>2162</v>
      </c>
    </row>
    <row r="859" spans="1:31" x14ac:dyDescent="0.2">
      <c r="A859" t="s">
        <v>31</v>
      </c>
      <c r="B859">
        <v>2021</v>
      </c>
      <c r="C859">
        <v>42</v>
      </c>
      <c r="D859" s="1">
        <v>44467</v>
      </c>
      <c r="E859" t="s">
        <v>1137</v>
      </c>
      <c r="F859" t="s">
        <v>2139</v>
      </c>
      <c r="G859" t="s">
        <v>2080</v>
      </c>
      <c r="H859" t="s">
        <v>87</v>
      </c>
      <c r="I859" t="s">
        <v>87</v>
      </c>
      <c r="J859" t="s">
        <v>37</v>
      </c>
      <c r="K859">
        <v>135</v>
      </c>
      <c r="L859">
        <v>6</v>
      </c>
      <c r="M859">
        <v>137</v>
      </c>
      <c r="N859">
        <v>4</v>
      </c>
      <c r="O859" t="s">
        <v>87</v>
      </c>
      <c r="P859" t="s">
        <v>38</v>
      </c>
      <c r="Q859">
        <v>0</v>
      </c>
      <c r="R859">
        <v>6</v>
      </c>
      <c r="S859" t="s">
        <v>568</v>
      </c>
      <c r="T859" t="s">
        <v>1553</v>
      </c>
      <c r="U859" t="s">
        <v>111</v>
      </c>
      <c r="V859" t="s">
        <v>939</v>
      </c>
      <c r="W859" t="s">
        <v>1210</v>
      </c>
      <c r="X859" t="s">
        <v>982</v>
      </c>
      <c r="Y859" t="s">
        <v>45</v>
      </c>
      <c r="Z859">
        <v>20</v>
      </c>
      <c r="AA859">
        <v>6</v>
      </c>
      <c r="AB859" t="s">
        <v>46</v>
      </c>
      <c r="AC859" t="s">
        <v>47</v>
      </c>
      <c r="AD859" t="s">
        <v>2163</v>
      </c>
      <c r="AE859" t="s">
        <v>2164</v>
      </c>
    </row>
    <row r="860" spans="1:31" x14ac:dyDescent="0.2">
      <c r="A860" t="s">
        <v>31</v>
      </c>
      <c r="B860">
        <v>2021</v>
      </c>
      <c r="C860">
        <v>43</v>
      </c>
      <c r="D860" s="1">
        <v>44468</v>
      </c>
      <c r="E860" t="s">
        <v>2136</v>
      </c>
      <c r="F860" t="s">
        <v>1151</v>
      </c>
      <c r="G860" t="s">
        <v>66</v>
      </c>
      <c r="H860" t="s">
        <v>35</v>
      </c>
      <c r="I860" t="s">
        <v>35</v>
      </c>
      <c r="J860" t="s">
        <v>37</v>
      </c>
      <c r="K860">
        <v>149</v>
      </c>
      <c r="L860">
        <v>9</v>
      </c>
      <c r="M860">
        <v>153</v>
      </c>
      <c r="N860">
        <v>3</v>
      </c>
      <c r="O860" t="s">
        <v>35</v>
      </c>
      <c r="P860" t="s">
        <v>38</v>
      </c>
      <c r="Q860">
        <v>0</v>
      </c>
      <c r="R860">
        <v>7</v>
      </c>
      <c r="S860" t="s">
        <v>1143</v>
      </c>
      <c r="T860" t="s">
        <v>1279</v>
      </c>
      <c r="U860" t="s">
        <v>1189</v>
      </c>
      <c r="V860" t="s">
        <v>463</v>
      </c>
      <c r="W860" t="s">
        <v>1139</v>
      </c>
      <c r="X860" t="s">
        <v>174</v>
      </c>
      <c r="Y860" t="s">
        <v>45</v>
      </c>
      <c r="Z860">
        <v>20</v>
      </c>
      <c r="AA860">
        <v>6</v>
      </c>
      <c r="AB860" t="s">
        <v>46</v>
      </c>
      <c r="AC860" t="s">
        <v>47</v>
      </c>
      <c r="AD860" t="s">
        <v>2165</v>
      </c>
      <c r="AE860" t="s">
        <v>2166</v>
      </c>
    </row>
    <row r="861" spans="1:31" x14ac:dyDescent="0.2">
      <c r="A861" t="s">
        <v>31</v>
      </c>
      <c r="B861">
        <v>2021</v>
      </c>
      <c r="C861">
        <v>44</v>
      </c>
      <c r="D861" s="1">
        <v>44469</v>
      </c>
      <c r="E861" t="s">
        <v>2150</v>
      </c>
      <c r="F861" t="s">
        <v>1142</v>
      </c>
      <c r="G861" t="s">
        <v>968</v>
      </c>
      <c r="H861" t="s">
        <v>53</v>
      </c>
      <c r="I861" t="s">
        <v>53</v>
      </c>
      <c r="J861" t="s">
        <v>37</v>
      </c>
      <c r="K861">
        <v>134</v>
      </c>
      <c r="L861">
        <v>7</v>
      </c>
      <c r="M861">
        <v>139</v>
      </c>
      <c r="N861">
        <v>4</v>
      </c>
      <c r="O861" t="s">
        <v>53</v>
      </c>
      <c r="P861" t="s">
        <v>38</v>
      </c>
      <c r="Q861">
        <v>0</v>
      </c>
      <c r="R861">
        <v>6</v>
      </c>
      <c r="S861" t="s">
        <v>2167</v>
      </c>
      <c r="T861" t="s">
        <v>1772</v>
      </c>
      <c r="U861" t="s">
        <v>989</v>
      </c>
      <c r="V861" t="s">
        <v>1417</v>
      </c>
      <c r="W861" t="s">
        <v>2143</v>
      </c>
      <c r="X861" t="s">
        <v>1728</v>
      </c>
      <c r="Y861" t="s">
        <v>45</v>
      </c>
      <c r="Z861">
        <v>20</v>
      </c>
      <c r="AA861">
        <v>6</v>
      </c>
      <c r="AB861" t="s">
        <v>46</v>
      </c>
      <c r="AC861" t="s">
        <v>47</v>
      </c>
      <c r="AD861" t="s">
        <v>2168</v>
      </c>
      <c r="AE861" t="s">
        <v>2169</v>
      </c>
    </row>
    <row r="862" spans="1:31" x14ac:dyDescent="0.2">
      <c r="A862" t="s">
        <v>31</v>
      </c>
      <c r="B862">
        <v>2021</v>
      </c>
      <c r="C862">
        <v>45</v>
      </c>
      <c r="D862" s="1">
        <v>44470</v>
      </c>
      <c r="E862" t="s">
        <v>2136</v>
      </c>
      <c r="F862" t="s">
        <v>1151</v>
      </c>
      <c r="G862" t="s">
        <v>36</v>
      </c>
      <c r="H862" t="s">
        <v>2080</v>
      </c>
      <c r="I862" t="s">
        <v>2080</v>
      </c>
      <c r="J862" t="s">
        <v>37</v>
      </c>
      <c r="K862">
        <v>165</v>
      </c>
      <c r="L862">
        <v>7</v>
      </c>
      <c r="M862">
        <v>168</v>
      </c>
      <c r="N862">
        <v>5</v>
      </c>
      <c r="O862" t="s">
        <v>2080</v>
      </c>
      <c r="P862" t="s">
        <v>38</v>
      </c>
      <c r="Q862">
        <v>0</v>
      </c>
      <c r="R862">
        <v>5</v>
      </c>
      <c r="S862" t="s">
        <v>1684</v>
      </c>
      <c r="T862" t="s">
        <v>1279</v>
      </c>
      <c r="U862" t="s">
        <v>463</v>
      </c>
      <c r="V862" t="s">
        <v>1139</v>
      </c>
      <c r="W862" t="s">
        <v>1189</v>
      </c>
      <c r="X862" t="s">
        <v>455</v>
      </c>
      <c r="Y862" t="s">
        <v>45</v>
      </c>
      <c r="Z862">
        <v>20</v>
      </c>
      <c r="AA862">
        <v>6</v>
      </c>
      <c r="AB862" t="s">
        <v>46</v>
      </c>
      <c r="AC862" t="s">
        <v>47</v>
      </c>
      <c r="AD862" t="s">
        <v>2170</v>
      </c>
      <c r="AE862" t="s">
        <v>2171</v>
      </c>
    </row>
    <row r="863" spans="1:31" x14ac:dyDescent="0.2">
      <c r="A863" t="s">
        <v>31</v>
      </c>
      <c r="B863">
        <v>2021</v>
      </c>
      <c r="C863">
        <v>46</v>
      </c>
      <c r="D863" s="1">
        <v>44471</v>
      </c>
      <c r="E863" t="s">
        <v>2150</v>
      </c>
      <c r="F863" t="s">
        <v>1142</v>
      </c>
      <c r="G863" t="s">
        <v>87</v>
      </c>
      <c r="H863" t="s">
        <v>1820</v>
      </c>
      <c r="I863" t="s">
        <v>1820</v>
      </c>
      <c r="J863" t="s">
        <v>37</v>
      </c>
      <c r="K863">
        <v>129</v>
      </c>
      <c r="L863">
        <v>8</v>
      </c>
      <c r="M863">
        <v>132</v>
      </c>
      <c r="N863">
        <v>6</v>
      </c>
      <c r="O863" t="s">
        <v>1820</v>
      </c>
      <c r="P863" t="s">
        <v>38</v>
      </c>
      <c r="Q863">
        <v>0</v>
      </c>
      <c r="R863">
        <v>4</v>
      </c>
      <c r="S863" t="s">
        <v>1243</v>
      </c>
      <c r="T863" t="s">
        <v>40</v>
      </c>
      <c r="U863" t="s">
        <v>146</v>
      </c>
      <c r="V863" t="s">
        <v>2143</v>
      </c>
      <c r="W863" t="s">
        <v>989</v>
      </c>
      <c r="X863" t="s">
        <v>1197</v>
      </c>
      <c r="Y863" t="s">
        <v>45</v>
      </c>
      <c r="Z863">
        <v>20</v>
      </c>
      <c r="AA863">
        <v>6</v>
      </c>
      <c r="AB863" t="s">
        <v>46</v>
      </c>
      <c r="AC863" t="s">
        <v>47</v>
      </c>
      <c r="AD863" t="s">
        <v>2172</v>
      </c>
      <c r="AE863" t="s">
        <v>2173</v>
      </c>
    </row>
    <row r="864" spans="1:31" x14ac:dyDescent="0.2">
      <c r="A864" t="s">
        <v>31</v>
      </c>
      <c r="B864">
        <v>2021</v>
      </c>
      <c r="C864">
        <v>47</v>
      </c>
      <c r="D864" s="1">
        <v>44471</v>
      </c>
      <c r="E864" t="s">
        <v>1137</v>
      </c>
      <c r="F864" t="s">
        <v>2139</v>
      </c>
      <c r="G864" t="s">
        <v>53</v>
      </c>
      <c r="H864" t="s">
        <v>66</v>
      </c>
      <c r="I864" t="s">
        <v>66</v>
      </c>
      <c r="J864" t="s">
        <v>37</v>
      </c>
      <c r="K864">
        <v>189</v>
      </c>
      <c r="L864">
        <v>4</v>
      </c>
      <c r="M864">
        <v>190</v>
      </c>
      <c r="N864">
        <v>3</v>
      </c>
      <c r="O864" t="s">
        <v>66</v>
      </c>
      <c r="P864" t="s">
        <v>38</v>
      </c>
      <c r="Q864">
        <v>0</v>
      </c>
      <c r="R864">
        <v>7</v>
      </c>
      <c r="S864" t="s">
        <v>2038</v>
      </c>
      <c r="T864" t="s">
        <v>1553</v>
      </c>
      <c r="U864" t="s">
        <v>1283</v>
      </c>
      <c r="V864" t="s">
        <v>939</v>
      </c>
      <c r="W864" t="s">
        <v>982</v>
      </c>
      <c r="X864" t="s">
        <v>1210</v>
      </c>
      <c r="Y864" t="s">
        <v>45</v>
      </c>
      <c r="Z864">
        <v>20</v>
      </c>
      <c r="AA864">
        <v>6</v>
      </c>
      <c r="AB864" t="s">
        <v>46</v>
      </c>
      <c r="AC864" t="s">
        <v>47</v>
      </c>
      <c r="AD864" t="s">
        <v>2174</v>
      </c>
      <c r="AE864" t="s">
        <v>2175</v>
      </c>
    </row>
    <row r="865" spans="1:31" x14ac:dyDescent="0.2">
      <c r="A865" t="s">
        <v>31</v>
      </c>
      <c r="B865">
        <v>2021</v>
      </c>
      <c r="C865">
        <v>48</v>
      </c>
      <c r="D865" s="1">
        <v>44472</v>
      </c>
      <c r="E865" t="s">
        <v>2150</v>
      </c>
      <c r="F865" t="s">
        <v>1142</v>
      </c>
      <c r="G865" t="s">
        <v>35</v>
      </c>
      <c r="H865" t="s">
        <v>2080</v>
      </c>
      <c r="I865" t="s">
        <v>35</v>
      </c>
      <c r="J865" t="s">
        <v>54</v>
      </c>
      <c r="K865">
        <v>164</v>
      </c>
      <c r="L865">
        <v>7</v>
      </c>
      <c r="M865">
        <v>158</v>
      </c>
      <c r="N865">
        <v>6</v>
      </c>
      <c r="O865" t="s">
        <v>35</v>
      </c>
      <c r="P865" t="s">
        <v>38</v>
      </c>
      <c r="Q865">
        <v>6</v>
      </c>
      <c r="R865">
        <v>0</v>
      </c>
      <c r="S865" t="s">
        <v>1146</v>
      </c>
      <c r="T865" t="s">
        <v>1772</v>
      </c>
      <c r="U865" t="s">
        <v>463</v>
      </c>
      <c r="V865" t="s">
        <v>1139</v>
      </c>
      <c r="W865" t="s">
        <v>174</v>
      </c>
      <c r="X865" t="s">
        <v>1417</v>
      </c>
      <c r="Y865" t="s">
        <v>45</v>
      </c>
      <c r="Z865">
        <v>20</v>
      </c>
      <c r="AA865">
        <v>6</v>
      </c>
      <c r="AB865" t="s">
        <v>46</v>
      </c>
      <c r="AC865" t="s">
        <v>47</v>
      </c>
      <c r="AD865" t="s">
        <v>2176</v>
      </c>
      <c r="AE865" t="s">
        <v>2177</v>
      </c>
    </row>
    <row r="866" spans="1:31" x14ac:dyDescent="0.2">
      <c r="A866" t="s">
        <v>31</v>
      </c>
      <c r="B866">
        <v>2021</v>
      </c>
      <c r="C866">
        <v>49</v>
      </c>
      <c r="D866" s="1">
        <v>44472</v>
      </c>
      <c r="E866" t="s">
        <v>2136</v>
      </c>
      <c r="F866" t="s">
        <v>1151</v>
      </c>
      <c r="G866" t="s">
        <v>968</v>
      </c>
      <c r="H866" t="s">
        <v>36</v>
      </c>
      <c r="I866" t="s">
        <v>968</v>
      </c>
      <c r="J866" t="s">
        <v>54</v>
      </c>
      <c r="K866">
        <v>115</v>
      </c>
      <c r="L866">
        <v>8</v>
      </c>
      <c r="M866">
        <v>119</v>
      </c>
      <c r="N866">
        <v>4</v>
      </c>
      <c r="O866" t="s">
        <v>36</v>
      </c>
      <c r="P866" t="s">
        <v>38</v>
      </c>
      <c r="Q866">
        <v>0</v>
      </c>
      <c r="R866">
        <v>6</v>
      </c>
      <c r="S866" t="s">
        <v>1930</v>
      </c>
      <c r="T866" t="s">
        <v>1279</v>
      </c>
      <c r="U866" t="s">
        <v>455</v>
      </c>
      <c r="V866" t="s">
        <v>2143</v>
      </c>
      <c r="W866" t="s">
        <v>1197</v>
      </c>
      <c r="X866" t="s">
        <v>1728</v>
      </c>
      <c r="Y866" t="s">
        <v>45</v>
      </c>
      <c r="Z866">
        <v>20</v>
      </c>
      <c r="AA866">
        <v>6</v>
      </c>
      <c r="AB866" t="s">
        <v>46</v>
      </c>
      <c r="AC866" t="s">
        <v>47</v>
      </c>
      <c r="AD866" t="s">
        <v>2178</v>
      </c>
      <c r="AE866" t="s">
        <v>2179</v>
      </c>
    </row>
    <row r="867" spans="1:31" x14ac:dyDescent="0.2">
      <c r="A867" t="s">
        <v>31</v>
      </c>
      <c r="B867">
        <v>2021</v>
      </c>
      <c r="C867">
        <v>50</v>
      </c>
      <c r="D867" s="1">
        <v>44473</v>
      </c>
      <c r="E867" t="s">
        <v>2136</v>
      </c>
      <c r="F867" t="s">
        <v>1151</v>
      </c>
      <c r="G867" t="s">
        <v>53</v>
      </c>
      <c r="H867" t="s">
        <v>1820</v>
      </c>
      <c r="I867" t="s">
        <v>1820</v>
      </c>
      <c r="J867" t="s">
        <v>37</v>
      </c>
      <c r="K867">
        <v>136</v>
      </c>
      <c r="L867">
        <v>5</v>
      </c>
      <c r="M867">
        <v>139</v>
      </c>
      <c r="N867">
        <v>7</v>
      </c>
      <c r="O867" t="s">
        <v>1820</v>
      </c>
      <c r="P867" t="s">
        <v>38</v>
      </c>
      <c r="Q867">
        <v>0</v>
      </c>
      <c r="R867">
        <v>3</v>
      </c>
      <c r="S867" t="s">
        <v>1243</v>
      </c>
      <c r="T867" t="s">
        <v>40</v>
      </c>
      <c r="U867" t="s">
        <v>146</v>
      </c>
      <c r="V867" t="s">
        <v>989</v>
      </c>
      <c r="W867" t="s">
        <v>1728</v>
      </c>
      <c r="X867" t="s">
        <v>1189</v>
      </c>
      <c r="Y867" t="s">
        <v>45</v>
      </c>
      <c r="Z867">
        <v>20</v>
      </c>
      <c r="AA867">
        <v>6</v>
      </c>
      <c r="AB867" t="s">
        <v>46</v>
      </c>
      <c r="AC867" t="s">
        <v>47</v>
      </c>
      <c r="AD867" t="s">
        <v>2180</v>
      </c>
      <c r="AE867" t="s">
        <v>2181</v>
      </c>
    </row>
    <row r="868" spans="1:31" x14ac:dyDescent="0.2">
      <c r="A868" t="s">
        <v>31</v>
      </c>
      <c r="B868">
        <v>2021</v>
      </c>
      <c r="C868">
        <v>51</v>
      </c>
      <c r="D868" s="1">
        <v>44474</v>
      </c>
      <c r="E868" t="s">
        <v>2150</v>
      </c>
      <c r="F868" t="s">
        <v>1142</v>
      </c>
      <c r="G868" t="s">
        <v>66</v>
      </c>
      <c r="H868" t="s">
        <v>87</v>
      </c>
      <c r="I868" t="s">
        <v>87</v>
      </c>
      <c r="J868" t="s">
        <v>37</v>
      </c>
      <c r="K868">
        <v>90</v>
      </c>
      <c r="L868">
        <v>9</v>
      </c>
      <c r="M868">
        <v>94</v>
      </c>
      <c r="N868">
        <v>2</v>
      </c>
      <c r="O868" t="s">
        <v>87</v>
      </c>
      <c r="P868" t="s">
        <v>38</v>
      </c>
      <c r="Q868">
        <v>0</v>
      </c>
      <c r="R868">
        <v>8</v>
      </c>
      <c r="S868" t="s">
        <v>1343</v>
      </c>
      <c r="T868" t="s">
        <v>1772</v>
      </c>
      <c r="U868" t="s">
        <v>146</v>
      </c>
      <c r="V868" t="s">
        <v>2143</v>
      </c>
      <c r="W868" t="s">
        <v>455</v>
      </c>
      <c r="X868" t="s">
        <v>174</v>
      </c>
      <c r="Y868" t="s">
        <v>45</v>
      </c>
      <c r="Z868">
        <v>20</v>
      </c>
      <c r="AA868">
        <v>6</v>
      </c>
      <c r="AB868" t="s">
        <v>46</v>
      </c>
      <c r="AC868" t="s">
        <v>47</v>
      </c>
      <c r="AD868" t="s">
        <v>2182</v>
      </c>
      <c r="AE868" t="s">
        <v>2183</v>
      </c>
    </row>
    <row r="869" spans="1:31" x14ac:dyDescent="0.2">
      <c r="A869" t="s">
        <v>31</v>
      </c>
      <c r="B869">
        <v>2021</v>
      </c>
      <c r="C869">
        <v>52</v>
      </c>
      <c r="D869" s="1">
        <v>44475</v>
      </c>
      <c r="E869" t="s">
        <v>1137</v>
      </c>
      <c r="F869" t="s">
        <v>2139</v>
      </c>
      <c r="G869" t="s">
        <v>968</v>
      </c>
      <c r="H869" t="s">
        <v>35</v>
      </c>
      <c r="I869" t="s">
        <v>35</v>
      </c>
      <c r="J869" t="s">
        <v>37</v>
      </c>
      <c r="K869">
        <v>141</v>
      </c>
      <c r="L869">
        <v>7</v>
      </c>
      <c r="M869">
        <v>137</v>
      </c>
      <c r="N869">
        <v>6</v>
      </c>
      <c r="O869" t="s">
        <v>968</v>
      </c>
      <c r="P869" t="s">
        <v>38</v>
      </c>
      <c r="Q869">
        <v>4</v>
      </c>
      <c r="R869">
        <v>0</v>
      </c>
      <c r="S869" t="s">
        <v>1596</v>
      </c>
      <c r="T869" t="s">
        <v>1553</v>
      </c>
      <c r="U869" t="s">
        <v>111</v>
      </c>
      <c r="V869" t="s">
        <v>1210</v>
      </c>
      <c r="W869" t="s">
        <v>1283</v>
      </c>
      <c r="X869" t="s">
        <v>982</v>
      </c>
      <c r="Y869" t="s">
        <v>45</v>
      </c>
      <c r="Z869">
        <v>20</v>
      </c>
      <c r="AA869">
        <v>6</v>
      </c>
      <c r="AB869" t="s">
        <v>46</v>
      </c>
      <c r="AC869" t="s">
        <v>47</v>
      </c>
      <c r="AD869" t="s">
        <v>2184</v>
      </c>
      <c r="AE869" t="s">
        <v>2185</v>
      </c>
    </row>
    <row r="870" spans="1:31" x14ac:dyDescent="0.2">
      <c r="A870" t="s">
        <v>31</v>
      </c>
      <c r="B870">
        <v>2021</v>
      </c>
      <c r="C870">
        <v>53</v>
      </c>
      <c r="D870" s="1">
        <v>44476</v>
      </c>
      <c r="E870" t="s">
        <v>2136</v>
      </c>
      <c r="F870" t="s">
        <v>1151</v>
      </c>
      <c r="G870" t="s">
        <v>53</v>
      </c>
      <c r="H870" t="s">
        <v>2080</v>
      </c>
      <c r="I870" t="s">
        <v>2080</v>
      </c>
      <c r="J870" t="s">
        <v>37</v>
      </c>
      <c r="K870">
        <v>134</v>
      </c>
      <c r="L870">
        <v>6</v>
      </c>
      <c r="M870">
        <v>139</v>
      </c>
      <c r="N870">
        <v>4</v>
      </c>
      <c r="O870" t="s">
        <v>2080</v>
      </c>
      <c r="P870" t="s">
        <v>38</v>
      </c>
      <c r="Q870">
        <v>0</v>
      </c>
      <c r="R870">
        <v>6</v>
      </c>
      <c r="S870" t="s">
        <v>1684</v>
      </c>
      <c r="T870" t="s">
        <v>40</v>
      </c>
      <c r="U870" t="s">
        <v>174</v>
      </c>
      <c r="V870" t="s">
        <v>1139</v>
      </c>
      <c r="W870" t="s">
        <v>1189</v>
      </c>
      <c r="X870" t="s">
        <v>455</v>
      </c>
      <c r="Y870" t="s">
        <v>45</v>
      </c>
      <c r="Z870">
        <v>20</v>
      </c>
      <c r="AA870">
        <v>6</v>
      </c>
      <c r="AB870" t="s">
        <v>46</v>
      </c>
      <c r="AC870" t="s">
        <v>47</v>
      </c>
      <c r="AD870" t="s">
        <v>2186</v>
      </c>
      <c r="AE870" t="s">
        <v>2187</v>
      </c>
    </row>
    <row r="871" spans="1:31" x14ac:dyDescent="0.2">
      <c r="A871" t="s">
        <v>31</v>
      </c>
      <c r="B871">
        <v>2021</v>
      </c>
      <c r="C871">
        <v>54</v>
      </c>
      <c r="D871" s="1">
        <v>44476</v>
      </c>
      <c r="E871" t="s">
        <v>2150</v>
      </c>
      <c r="F871" t="s">
        <v>1142</v>
      </c>
      <c r="G871" t="s">
        <v>36</v>
      </c>
      <c r="H871" t="s">
        <v>66</v>
      </c>
      <c r="I871" t="s">
        <v>66</v>
      </c>
      <c r="J871" t="s">
        <v>37</v>
      </c>
      <c r="K871">
        <v>171</v>
      </c>
      <c r="L871">
        <v>4</v>
      </c>
      <c r="M871">
        <v>85</v>
      </c>
      <c r="N871">
        <v>10</v>
      </c>
      <c r="O871" t="s">
        <v>36</v>
      </c>
      <c r="P871" t="s">
        <v>38</v>
      </c>
      <c r="Q871">
        <v>86</v>
      </c>
      <c r="R871">
        <v>0</v>
      </c>
      <c r="S871" t="s">
        <v>1974</v>
      </c>
      <c r="T871" t="s">
        <v>1279</v>
      </c>
      <c r="U871" t="s">
        <v>2143</v>
      </c>
      <c r="V871" t="s">
        <v>1728</v>
      </c>
      <c r="W871" t="s">
        <v>1417</v>
      </c>
      <c r="X871" t="s">
        <v>1197</v>
      </c>
      <c r="Y871" t="s">
        <v>45</v>
      </c>
      <c r="Z871">
        <v>20</v>
      </c>
      <c r="AA871">
        <v>6</v>
      </c>
      <c r="AB871" t="s">
        <v>46</v>
      </c>
      <c r="AC871" t="s">
        <v>47</v>
      </c>
      <c r="AD871" t="s">
        <v>2188</v>
      </c>
      <c r="AE871" t="s">
        <v>2189</v>
      </c>
    </row>
    <row r="872" spans="1:31" x14ac:dyDescent="0.2">
      <c r="A872" t="s">
        <v>31</v>
      </c>
      <c r="B872">
        <v>2021</v>
      </c>
      <c r="C872">
        <v>55</v>
      </c>
      <c r="D872" s="1">
        <v>44477</v>
      </c>
      <c r="E872" t="s">
        <v>1137</v>
      </c>
      <c r="F872" t="s">
        <v>2139</v>
      </c>
      <c r="G872" t="s">
        <v>87</v>
      </c>
      <c r="H872" t="s">
        <v>968</v>
      </c>
      <c r="I872" t="s">
        <v>87</v>
      </c>
      <c r="J872" t="s">
        <v>54</v>
      </c>
      <c r="K872">
        <v>235</v>
      </c>
      <c r="L872">
        <v>9</v>
      </c>
      <c r="M872">
        <v>193</v>
      </c>
      <c r="N872">
        <v>8</v>
      </c>
      <c r="O872" t="s">
        <v>87</v>
      </c>
      <c r="P872" t="s">
        <v>38</v>
      </c>
      <c r="Q872">
        <v>42</v>
      </c>
      <c r="R872">
        <v>0</v>
      </c>
      <c r="S872" t="s">
        <v>1771</v>
      </c>
      <c r="T872" t="s">
        <v>1553</v>
      </c>
      <c r="U872" t="s">
        <v>982</v>
      </c>
      <c r="V872" t="s">
        <v>939</v>
      </c>
      <c r="W872" t="s">
        <v>72</v>
      </c>
      <c r="X872" t="s">
        <v>1210</v>
      </c>
      <c r="Y872" t="s">
        <v>45</v>
      </c>
      <c r="Z872">
        <v>20</v>
      </c>
      <c r="AA872">
        <v>6</v>
      </c>
      <c r="AB872" t="s">
        <v>46</v>
      </c>
      <c r="AC872" t="s">
        <v>47</v>
      </c>
      <c r="AD872" t="s">
        <v>2190</v>
      </c>
      <c r="AE872" t="s">
        <v>2191</v>
      </c>
    </row>
    <row r="873" spans="1:31" x14ac:dyDescent="0.2">
      <c r="A873" t="s">
        <v>31</v>
      </c>
      <c r="B873">
        <v>2021</v>
      </c>
      <c r="C873">
        <v>56</v>
      </c>
      <c r="D873" s="1">
        <v>44477</v>
      </c>
      <c r="E873" t="s">
        <v>2136</v>
      </c>
      <c r="F873" t="s">
        <v>1151</v>
      </c>
      <c r="G873" t="s">
        <v>1820</v>
      </c>
      <c r="H873" t="s">
        <v>35</v>
      </c>
      <c r="I873" t="s">
        <v>35</v>
      </c>
      <c r="J873" t="s">
        <v>37</v>
      </c>
      <c r="K873">
        <v>164</v>
      </c>
      <c r="L873">
        <v>5</v>
      </c>
      <c r="M873">
        <v>166</v>
      </c>
      <c r="N873">
        <v>3</v>
      </c>
      <c r="O873" t="s">
        <v>35</v>
      </c>
      <c r="P873" t="s">
        <v>38</v>
      </c>
      <c r="Q873">
        <v>0</v>
      </c>
      <c r="R873">
        <v>7</v>
      </c>
      <c r="S873" t="s">
        <v>2192</v>
      </c>
      <c r="T873" t="s">
        <v>1772</v>
      </c>
      <c r="U873" t="s">
        <v>463</v>
      </c>
      <c r="V873" t="s">
        <v>989</v>
      </c>
      <c r="W873" t="s">
        <v>174</v>
      </c>
      <c r="X873" t="s">
        <v>1197</v>
      </c>
      <c r="Y873" t="s">
        <v>45</v>
      </c>
      <c r="Z873">
        <v>20</v>
      </c>
      <c r="AA873">
        <v>6</v>
      </c>
      <c r="AB873" t="s">
        <v>46</v>
      </c>
      <c r="AC873" t="s">
        <v>47</v>
      </c>
      <c r="AD873" t="s">
        <v>2193</v>
      </c>
      <c r="AE873" t="s">
        <v>2194</v>
      </c>
    </row>
    <row r="874" spans="1:31" x14ac:dyDescent="0.2">
      <c r="A874" t="s">
        <v>31</v>
      </c>
      <c r="B874">
        <v>2021</v>
      </c>
      <c r="C874" t="s">
        <v>256</v>
      </c>
      <c r="D874" s="1">
        <v>44479</v>
      </c>
      <c r="E874" t="s">
        <v>2136</v>
      </c>
      <c r="F874" t="s">
        <v>1151</v>
      </c>
      <c r="G874" t="s">
        <v>1820</v>
      </c>
      <c r="H874" t="s">
        <v>53</v>
      </c>
      <c r="I874" t="s">
        <v>53</v>
      </c>
      <c r="J874" t="s">
        <v>37</v>
      </c>
      <c r="K874">
        <v>172</v>
      </c>
      <c r="L874">
        <v>5</v>
      </c>
      <c r="M874">
        <v>173</v>
      </c>
      <c r="N874">
        <v>6</v>
      </c>
      <c r="O874" t="s">
        <v>53</v>
      </c>
      <c r="P874" t="s">
        <v>38</v>
      </c>
      <c r="Q874">
        <v>0</v>
      </c>
      <c r="R874">
        <v>4</v>
      </c>
      <c r="S874" t="s">
        <v>2038</v>
      </c>
      <c r="T874" t="s">
        <v>40</v>
      </c>
      <c r="U874" t="s">
        <v>989</v>
      </c>
      <c r="V874" t="s">
        <v>1139</v>
      </c>
      <c r="W874" t="s">
        <v>2143</v>
      </c>
      <c r="X874" t="s">
        <v>463</v>
      </c>
      <c r="Y874" t="s">
        <v>45</v>
      </c>
      <c r="Z874">
        <v>20</v>
      </c>
      <c r="AA874">
        <v>6</v>
      </c>
      <c r="AB874" t="s">
        <v>46</v>
      </c>
      <c r="AC874" t="s">
        <v>47</v>
      </c>
      <c r="AD874" t="s">
        <v>2195</v>
      </c>
      <c r="AE874" t="s">
        <v>2196</v>
      </c>
    </row>
    <row r="875" spans="1:31" x14ac:dyDescent="0.2">
      <c r="A875" t="s">
        <v>31</v>
      </c>
      <c r="B875">
        <v>2021</v>
      </c>
      <c r="C875" t="s">
        <v>256</v>
      </c>
      <c r="D875" s="1">
        <v>44480</v>
      </c>
      <c r="E875" t="s">
        <v>2150</v>
      </c>
      <c r="F875" t="s">
        <v>1142</v>
      </c>
      <c r="G875" t="s">
        <v>35</v>
      </c>
      <c r="H875" t="s">
        <v>36</v>
      </c>
      <c r="I875" t="s">
        <v>35</v>
      </c>
      <c r="J875" t="s">
        <v>54</v>
      </c>
      <c r="K875">
        <v>138</v>
      </c>
      <c r="L875">
        <v>7</v>
      </c>
      <c r="M875">
        <v>139</v>
      </c>
      <c r="N875">
        <v>6</v>
      </c>
      <c r="O875" t="s">
        <v>36</v>
      </c>
      <c r="P875" t="s">
        <v>38</v>
      </c>
      <c r="Q875">
        <v>0</v>
      </c>
      <c r="R875">
        <v>4</v>
      </c>
      <c r="S875" t="s">
        <v>835</v>
      </c>
      <c r="T875" t="s">
        <v>1279</v>
      </c>
      <c r="U875" t="s">
        <v>1283</v>
      </c>
      <c r="V875" t="s">
        <v>939</v>
      </c>
      <c r="W875" t="s">
        <v>146</v>
      </c>
      <c r="X875" t="s">
        <v>111</v>
      </c>
      <c r="Y875" t="s">
        <v>45</v>
      </c>
      <c r="Z875">
        <v>20</v>
      </c>
      <c r="AA875">
        <v>6</v>
      </c>
      <c r="AB875" t="s">
        <v>46</v>
      </c>
      <c r="AC875" t="s">
        <v>47</v>
      </c>
      <c r="AD875" t="s">
        <v>2197</v>
      </c>
      <c r="AE875" t="s">
        <v>2198</v>
      </c>
    </row>
    <row r="876" spans="1:31" x14ac:dyDescent="0.2">
      <c r="A876" t="s">
        <v>31</v>
      </c>
      <c r="B876">
        <v>2021</v>
      </c>
      <c r="C876" t="s">
        <v>256</v>
      </c>
      <c r="D876" s="1">
        <v>44482</v>
      </c>
      <c r="E876" t="s">
        <v>2150</v>
      </c>
      <c r="F876" t="s">
        <v>1142</v>
      </c>
      <c r="G876" t="s">
        <v>1820</v>
      </c>
      <c r="H876" t="s">
        <v>36</v>
      </c>
      <c r="I876" t="s">
        <v>36</v>
      </c>
      <c r="J876" t="s">
        <v>37</v>
      </c>
      <c r="K876">
        <v>135</v>
      </c>
      <c r="L876">
        <v>5</v>
      </c>
      <c r="M876">
        <v>136</v>
      </c>
      <c r="N876">
        <v>7</v>
      </c>
      <c r="O876" t="s">
        <v>36</v>
      </c>
      <c r="P876" t="s">
        <v>38</v>
      </c>
      <c r="Q876">
        <v>0</v>
      </c>
      <c r="R876">
        <v>3</v>
      </c>
      <c r="S876" t="s">
        <v>2199</v>
      </c>
      <c r="T876" t="s">
        <v>1279</v>
      </c>
      <c r="U876" t="s">
        <v>463</v>
      </c>
      <c r="V876" t="s">
        <v>2143</v>
      </c>
      <c r="W876" t="s">
        <v>1283</v>
      </c>
      <c r="X876" t="s">
        <v>146</v>
      </c>
      <c r="Y876" t="s">
        <v>45</v>
      </c>
      <c r="Z876">
        <v>20</v>
      </c>
      <c r="AA876">
        <v>6</v>
      </c>
      <c r="AB876" t="s">
        <v>46</v>
      </c>
      <c r="AC876" t="s">
        <v>47</v>
      </c>
      <c r="AD876" t="s">
        <v>2200</v>
      </c>
      <c r="AE876" t="s">
        <v>2201</v>
      </c>
    </row>
    <row r="877" spans="1:31" x14ac:dyDescent="0.2">
      <c r="A877" t="s">
        <v>31</v>
      </c>
      <c r="B877">
        <v>2021</v>
      </c>
      <c r="C877" t="s">
        <v>256</v>
      </c>
      <c r="D877" s="1">
        <v>44484</v>
      </c>
      <c r="E877" t="s">
        <v>2136</v>
      </c>
      <c r="F877" t="s">
        <v>1151</v>
      </c>
      <c r="G877" t="s">
        <v>53</v>
      </c>
      <c r="H877" t="s">
        <v>36</v>
      </c>
      <c r="I877" t="s">
        <v>36</v>
      </c>
      <c r="J877" t="s">
        <v>37</v>
      </c>
      <c r="K877">
        <v>192</v>
      </c>
      <c r="L877">
        <v>3</v>
      </c>
      <c r="M877">
        <v>165</v>
      </c>
      <c r="N877">
        <v>9</v>
      </c>
      <c r="O877" t="s">
        <v>53</v>
      </c>
      <c r="P877" t="s">
        <v>38</v>
      </c>
      <c r="Q877">
        <v>27</v>
      </c>
      <c r="R877">
        <v>0</v>
      </c>
      <c r="S877" t="s">
        <v>822</v>
      </c>
      <c r="T877" t="s">
        <v>40</v>
      </c>
      <c r="U877" t="s">
        <v>989</v>
      </c>
      <c r="V877" t="s">
        <v>1139</v>
      </c>
      <c r="W877" t="s">
        <v>111</v>
      </c>
      <c r="X877" t="s">
        <v>939</v>
      </c>
      <c r="Y877" t="s">
        <v>45</v>
      </c>
      <c r="Z877">
        <v>20</v>
      </c>
      <c r="AA877">
        <v>6</v>
      </c>
      <c r="AB877" t="s">
        <v>46</v>
      </c>
      <c r="AC877" t="s">
        <v>47</v>
      </c>
      <c r="AD877" t="s">
        <v>2202</v>
      </c>
      <c r="AE877" t="s">
        <v>2203</v>
      </c>
    </row>
    <row r="878" spans="1:31" x14ac:dyDescent="0.2">
      <c r="A878" t="s">
        <v>31</v>
      </c>
      <c r="B878">
        <v>2022</v>
      </c>
      <c r="C878">
        <v>1</v>
      </c>
      <c r="D878" s="1">
        <v>44646</v>
      </c>
      <c r="E878" t="s">
        <v>85</v>
      </c>
      <c r="F878" t="s">
        <v>2075</v>
      </c>
      <c r="G878" t="s">
        <v>53</v>
      </c>
      <c r="H878" t="s">
        <v>36</v>
      </c>
      <c r="I878" t="s">
        <v>36</v>
      </c>
      <c r="J878" t="s">
        <v>37</v>
      </c>
      <c r="K878">
        <v>131</v>
      </c>
      <c r="L878">
        <v>5</v>
      </c>
      <c r="M878">
        <v>133</v>
      </c>
      <c r="N878">
        <v>4</v>
      </c>
      <c r="O878" t="s">
        <v>36</v>
      </c>
      <c r="P878" t="s">
        <v>38</v>
      </c>
      <c r="Q878">
        <v>0</v>
      </c>
      <c r="R878">
        <v>6</v>
      </c>
      <c r="S878" t="s">
        <v>934</v>
      </c>
      <c r="T878" t="s">
        <v>1279</v>
      </c>
      <c r="U878" t="s">
        <v>146</v>
      </c>
      <c r="V878" t="s">
        <v>989</v>
      </c>
      <c r="W878" t="s">
        <v>939</v>
      </c>
      <c r="X878" t="s">
        <v>2204</v>
      </c>
      <c r="Y878" t="s">
        <v>45</v>
      </c>
      <c r="Z878">
        <v>20</v>
      </c>
      <c r="AA878">
        <v>6</v>
      </c>
      <c r="AB878" t="s">
        <v>46</v>
      </c>
      <c r="AC878" t="s">
        <v>47</v>
      </c>
      <c r="AD878" t="s">
        <v>2205</v>
      </c>
      <c r="AE878" t="s">
        <v>2206</v>
      </c>
    </row>
    <row r="879" spans="1:31" x14ac:dyDescent="0.2">
      <c r="A879" t="s">
        <v>31</v>
      </c>
      <c r="B879">
        <v>2022</v>
      </c>
      <c r="C879">
        <v>2</v>
      </c>
      <c r="D879" s="1">
        <v>44647</v>
      </c>
      <c r="E879" t="s">
        <v>85</v>
      </c>
      <c r="F879" t="s">
        <v>499</v>
      </c>
      <c r="G879" t="s">
        <v>87</v>
      </c>
      <c r="H879" t="s">
        <v>1820</v>
      </c>
      <c r="I879" t="s">
        <v>1820</v>
      </c>
      <c r="J879" t="s">
        <v>37</v>
      </c>
      <c r="K879">
        <v>177</v>
      </c>
      <c r="L879">
        <v>5</v>
      </c>
      <c r="M879">
        <v>179</v>
      </c>
      <c r="N879">
        <v>6</v>
      </c>
      <c r="O879" t="s">
        <v>1820</v>
      </c>
      <c r="P879" t="s">
        <v>38</v>
      </c>
      <c r="Q879">
        <v>0</v>
      </c>
      <c r="R879">
        <v>4</v>
      </c>
      <c r="S879" t="s">
        <v>1789</v>
      </c>
      <c r="T879" t="s">
        <v>1772</v>
      </c>
      <c r="U879" t="s">
        <v>656</v>
      </c>
      <c r="V879" t="s">
        <v>1728</v>
      </c>
      <c r="W879" t="s">
        <v>455</v>
      </c>
      <c r="X879" t="s">
        <v>1547</v>
      </c>
      <c r="Y879" t="s">
        <v>45</v>
      </c>
      <c r="Z879">
        <v>20</v>
      </c>
      <c r="AA879">
        <v>6</v>
      </c>
      <c r="AB879" t="s">
        <v>46</v>
      </c>
      <c r="AC879" t="s">
        <v>47</v>
      </c>
      <c r="AD879" t="s">
        <v>2207</v>
      </c>
      <c r="AE879" t="s">
        <v>2208</v>
      </c>
    </row>
    <row r="880" spans="1:31" x14ac:dyDescent="0.2">
      <c r="A880" t="s">
        <v>31</v>
      </c>
      <c r="B880">
        <v>2022</v>
      </c>
      <c r="C880">
        <v>3</v>
      </c>
      <c r="D880" s="1">
        <v>44647</v>
      </c>
      <c r="E880" t="s">
        <v>85</v>
      </c>
      <c r="F880" t="s">
        <v>2209</v>
      </c>
      <c r="G880" t="s">
        <v>35</v>
      </c>
      <c r="H880" t="s">
        <v>2080</v>
      </c>
      <c r="I880" t="s">
        <v>2080</v>
      </c>
      <c r="J880" t="s">
        <v>37</v>
      </c>
      <c r="K880">
        <v>205</v>
      </c>
      <c r="L880">
        <v>2</v>
      </c>
      <c r="M880">
        <v>208</v>
      </c>
      <c r="N880">
        <v>5</v>
      </c>
      <c r="O880" t="s">
        <v>2080</v>
      </c>
      <c r="P880" t="s">
        <v>38</v>
      </c>
      <c r="Q880">
        <v>0</v>
      </c>
      <c r="R880">
        <v>5</v>
      </c>
      <c r="S880" t="s">
        <v>2210</v>
      </c>
      <c r="T880" t="s">
        <v>1279</v>
      </c>
      <c r="U880" t="s">
        <v>989</v>
      </c>
      <c r="V880" t="s">
        <v>1417</v>
      </c>
      <c r="W880" t="s">
        <v>146</v>
      </c>
      <c r="X880" t="s">
        <v>1193</v>
      </c>
      <c r="Y880" t="s">
        <v>45</v>
      </c>
      <c r="Z880">
        <v>20</v>
      </c>
      <c r="AA880">
        <v>6</v>
      </c>
      <c r="AB880" t="s">
        <v>46</v>
      </c>
      <c r="AC880" t="s">
        <v>47</v>
      </c>
      <c r="AD880" t="s">
        <v>2211</v>
      </c>
      <c r="AE880" t="s">
        <v>2212</v>
      </c>
    </row>
    <row r="881" spans="1:31" x14ac:dyDescent="0.2">
      <c r="A881" t="s">
        <v>31</v>
      </c>
      <c r="B881">
        <v>2022</v>
      </c>
      <c r="C881">
        <v>4</v>
      </c>
      <c r="D881" s="1">
        <v>44648</v>
      </c>
      <c r="E881" t="s">
        <v>85</v>
      </c>
      <c r="F881" t="s">
        <v>2075</v>
      </c>
      <c r="G881" t="s">
        <v>2213</v>
      </c>
      <c r="H881" t="s">
        <v>2214</v>
      </c>
      <c r="I881" t="s">
        <v>2214</v>
      </c>
      <c r="J881" t="s">
        <v>37</v>
      </c>
      <c r="K881">
        <v>158</v>
      </c>
      <c r="L881">
        <v>6</v>
      </c>
      <c r="M881">
        <v>161</v>
      </c>
      <c r="N881">
        <v>5</v>
      </c>
      <c r="O881" t="s">
        <v>2214</v>
      </c>
      <c r="P881" t="s">
        <v>38</v>
      </c>
      <c r="Q881">
        <v>0</v>
      </c>
      <c r="R881">
        <v>5</v>
      </c>
      <c r="S881" t="s">
        <v>1634</v>
      </c>
      <c r="T881" t="s">
        <v>2215</v>
      </c>
      <c r="U881" t="s">
        <v>791</v>
      </c>
      <c r="V881" t="s">
        <v>939</v>
      </c>
      <c r="W881" t="s">
        <v>656</v>
      </c>
      <c r="X881" t="s">
        <v>1733</v>
      </c>
      <c r="Y881" t="s">
        <v>45</v>
      </c>
      <c r="Z881">
        <v>20</v>
      </c>
      <c r="AA881">
        <v>6</v>
      </c>
      <c r="AB881" t="s">
        <v>46</v>
      </c>
      <c r="AC881" t="s">
        <v>47</v>
      </c>
      <c r="AD881" t="s">
        <v>2216</v>
      </c>
      <c r="AE881" t="s">
        <v>2217</v>
      </c>
    </row>
    <row r="882" spans="1:31" x14ac:dyDescent="0.2">
      <c r="A882" t="s">
        <v>31</v>
      </c>
      <c r="B882">
        <v>2022</v>
      </c>
      <c r="C882">
        <v>5</v>
      </c>
      <c r="D882" s="1">
        <v>44649</v>
      </c>
      <c r="E882" t="s">
        <v>807</v>
      </c>
      <c r="F882" t="s">
        <v>2218</v>
      </c>
      <c r="G882" t="s">
        <v>66</v>
      </c>
      <c r="H882" t="s">
        <v>968</v>
      </c>
      <c r="I882" t="s">
        <v>968</v>
      </c>
      <c r="J882" t="s">
        <v>37</v>
      </c>
      <c r="K882">
        <v>210</v>
      </c>
      <c r="L882">
        <v>6</v>
      </c>
      <c r="M882">
        <v>149</v>
      </c>
      <c r="N882">
        <v>7</v>
      </c>
      <c r="O882" t="s">
        <v>66</v>
      </c>
      <c r="P882" t="s">
        <v>38</v>
      </c>
      <c r="Q882">
        <v>61</v>
      </c>
      <c r="R882">
        <v>0</v>
      </c>
      <c r="S882" t="s">
        <v>1055</v>
      </c>
      <c r="T882" t="s">
        <v>1965</v>
      </c>
      <c r="U882" t="s">
        <v>819</v>
      </c>
      <c r="V882" t="s">
        <v>1210</v>
      </c>
      <c r="W882" t="s">
        <v>463</v>
      </c>
      <c r="X882" t="s">
        <v>2219</v>
      </c>
      <c r="Y882" t="s">
        <v>45</v>
      </c>
      <c r="Z882">
        <v>20</v>
      </c>
      <c r="AA882">
        <v>6</v>
      </c>
      <c r="AB882" t="s">
        <v>46</v>
      </c>
      <c r="AC882" t="s">
        <v>47</v>
      </c>
      <c r="AD882" t="s">
        <v>2220</v>
      </c>
      <c r="AE882" t="s">
        <v>2221</v>
      </c>
    </row>
    <row r="883" spans="1:31" x14ac:dyDescent="0.2">
      <c r="A883" t="s">
        <v>31</v>
      </c>
      <c r="B883">
        <v>2022</v>
      </c>
      <c r="C883">
        <v>6</v>
      </c>
      <c r="D883" s="1">
        <v>44650</v>
      </c>
      <c r="E883" t="s">
        <v>85</v>
      </c>
      <c r="F883" t="s">
        <v>2209</v>
      </c>
      <c r="G883" t="s">
        <v>36</v>
      </c>
      <c r="H883" t="s">
        <v>35</v>
      </c>
      <c r="I883" t="s">
        <v>35</v>
      </c>
      <c r="J883" t="s">
        <v>37</v>
      </c>
      <c r="K883">
        <v>128</v>
      </c>
      <c r="L883">
        <v>10</v>
      </c>
      <c r="M883">
        <v>132</v>
      </c>
      <c r="N883">
        <v>7</v>
      </c>
      <c r="O883" t="s">
        <v>35</v>
      </c>
      <c r="P883" t="s">
        <v>38</v>
      </c>
      <c r="Q883">
        <v>0</v>
      </c>
      <c r="R883">
        <v>3</v>
      </c>
      <c r="S883" t="s">
        <v>2222</v>
      </c>
      <c r="T883" t="s">
        <v>1279</v>
      </c>
      <c r="U883" t="s">
        <v>455</v>
      </c>
      <c r="V883" t="s">
        <v>1197</v>
      </c>
      <c r="W883" t="s">
        <v>989</v>
      </c>
      <c r="X883" t="s">
        <v>2204</v>
      </c>
      <c r="Y883" t="s">
        <v>45</v>
      </c>
      <c r="Z883">
        <v>20</v>
      </c>
      <c r="AA883">
        <v>6</v>
      </c>
      <c r="AB883" t="s">
        <v>46</v>
      </c>
      <c r="AC883" t="s">
        <v>47</v>
      </c>
      <c r="AD883" t="s">
        <v>2223</v>
      </c>
      <c r="AE883" t="s">
        <v>2224</v>
      </c>
    </row>
    <row r="884" spans="1:31" x14ac:dyDescent="0.2">
      <c r="A884" t="s">
        <v>31</v>
      </c>
      <c r="B884">
        <v>2022</v>
      </c>
      <c r="C884">
        <v>7</v>
      </c>
      <c r="D884" s="1">
        <v>44651</v>
      </c>
      <c r="E884" t="s">
        <v>85</v>
      </c>
      <c r="F884" t="s">
        <v>499</v>
      </c>
      <c r="G884" t="s">
        <v>53</v>
      </c>
      <c r="H884" t="s">
        <v>2213</v>
      </c>
      <c r="I884" t="s">
        <v>2213</v>
      </c>
      <c r="J884" t="s">
        <v>37</v>
      </c>
      <c r="K884">
        <v>210</v>
      </c>
      <c r="L884">
        <v>7</v>
      </c>
      <c r="M884">
        <v>211</v>
      </c>
      <c r="N884">
        <v>4</v>
      </c>
      <c r="O884" t="s">
        <v>2213</v>
      </c>
      <c r="P884" t="s">
        <v>38</v>
      </c>
      <c r="Q884">
        <v>0</v>
      </c>
      <c r="R884">
        <v>6</v>
      </c>
      <c r="S884" t="s">
        <v>2225</v>
      </c>
      <c r="T884" t="s">
        <v>40</v>
      </c>
      <c r="U884" t="s">
        <v>656</v>
      </c>
      <c r="V884" t="s">
        <v>939</v>
      </c>
      <c r="W884" t="s">
        <v>1417</v>
      </c>
      <c r="X884" t="s">
        <v>621</v>
      </c>
      <c r="Y884" t="s">
        <v>45</v>
      </c>
      <c r="Z884">
        <v>20</v>
      </c>
      <c r="AA884">
        <v>6</v>
      </c>
      <c r="AB884" t="s">
        <v>46</v>
      </c>
      <c r="AC884" t="s">
        <v>47</v>
      </c>
      <c r="AD884" t="s">
        <v>2226</v>
      </c>
      <c r="AE884" t="s">
        <v>2227</v>
      </c>
    </row>
    <row r="885" spans="1:31" x14ac:dyDescent="0.2">
      <c r="A885" t="s">
        <v>31</v>
      </c>
      <c r="B885">
        <v>2022</v>
      </c>
      <c r="C885">
        <v>8</v>
      </c>
      <c r="D885" s="1">
        <v>44652</v>
      </c>
      <c r="E885" t="s">
        <v>85</v>
      </c>
      <c r="F885" t="s">
        <v>2075</v>
      </c>
      <c r="G885" t="s">
        <v>2080</v>
      </c>
      <c r="H885" t="s">
        <v>36</v>
      </c>
      <c r="I885" t="s">
        <v>36</v>
      </c>
      <c r="J885" t="s">
        <v>37</v>
      </c>
      <c r="K885">
        <v>137</v>
      </c>
      <c r="L885">
        <v>10</v>
      </c>
      <c r="M885">
        <v>141</v>
      </c>
      <c r="N885">
        <v>4</v>
      </c>
      <c r="O885" t="s">
        <v>36</v>
      </c>
      <c r="P885" t="s">
        <v>38</v>
      </c>
      <c r="Q885">
        <v>0</v>
      </c>
      <c r="R885">
        <v>6</v>
      </c>
      <c r="S885" t="s">
        <v>934</v>
      </c>
      <c r="T885" t="s">
        <v>1772</v>
      </c>
      <c r="U885" t="s">
        <v>146</v>
      </c>
      <c r="V885" t="s">
        <v>1728</v>
      </c>
      <c r="W885" t="s">
        <v>455</v>
      </c>
      <c r="X885" t="s">
        <v>2228</v>
      </c>
      <c r="Y885" t="s">
        <v>45</v>
      </c>
      <c r="Z885">
        <v>20</v>
      </c>
      <c r="AA885">
        <v>6</v>
      </c>
      <c r="AB885" t="s">
        <v>46</v>
      </c>
      <c r="AC885" t="s">
        <v>47</v>
      </c>
      <c r="AD885" t="s">
        <v>2229</v>
      </c>
      <c r="AE885" t="s">
        <v>2230</v>
      </c>
    </row>
    <row r="886" spans="1:31" x14ac:dyDescent="0.2">
      <c r="A886" t="s">
        <v>31</v>
      </c>
      <c r="B886">
        <v>2022</v>
      </c>
      <c r="C886">
        <v>9</v>
      </c>
      <c r="D886" s="1">
        <v>44653</v>
      </c>
      <c r="E886" t="s">
        <v>85</v>
      </c>
      <c r="F886" t="s">
        <v>2209</v>
      </c>
      <c r="G886" t="s">
        <v>66</v>
      </c>
      <c r="H886" t="s">
        <v>87</v>
      </c>
      <c r="I886" t="s">
        <v>87</v>
      </c>
      <c r="J886" t="s">
        <v>37</v>
      </c>
      <c r="K886">
        <v>193</v>
      </c>
      <c r="L886">
        <v>8</v>
      </c>
      <c r="M886">
        <v>170</v>
      </c>
      <c r="N886">
        <v>8</v>
      </c>
      <c r="O886" t="s">
        <v>66</v>
      </c>
      <c r="P886" t="s">
        <v>38</v>
      </c>
      <c r="Q886">
        <v>23</v>
      </c>
      <c r="R886">
        <v>0</v>
      </c>
      <c r="S886" t="s">
        <v>1599</v>
      </c>
      <c r="T886" t="s">
        <v>2215</v>
      </c>
      <c r="U886" t="s">
        <v>989</v>
      </c>
      <c r="V886" t="s">
        <v>791</v>
      </c>
      <c r="W886" t="s">
        <v>939</v>
      </c>
      <c r="X886" t="s">
        <v>1547</v>
      </c>
      <c r="Y886" t="s">
        <v>45</v>
      </c>
      <c r="Z886">
        <v>20</v>
      </c>
      <c r="AA886">
        <v>6</v>
      </c>
      <c r="AB886" t="s">
        <v>46</v>
      </c>
      <c r="AC886" t="s">
        <v>47</v>
      </c>
      <c r="AD886" t="s">
        <v>2231</v>
      </c>
      <c r="AE886" t="s">
        <v>2232</v>
      </c>
    </row>
    <row r="887" spans="1:31" x14ac:dyDescent="0.2">
      <c r="A887" t="s">
        <v>31</v>
      </c>
      <c r="B887">
        <v>2022</v>
      </c>
      <c r="C887">
        <v>10</v>
      </c>
      <c r="D887" s="1">
        <v>44653</v>
      </c>
      <c r="E887" t="s">
        <v>807</v>
      </c>
      <c r="F887" t="s">
        <v>2218</v>
      </c>
      <c r="G887" t="s">
        <v>2214</v>
      </c>
      <c r="H887" t="s">
        <v>1820</v>
      </c>
      <c r="I887" t="s">
        <v>1820</v>
      </c>
      <c r="J887" t="s">
        <v>37</v>
      </c>
      <c r="K887">
        <v>171</v>
      </c>
      <c r="L887">
        <v>6</v>
      </c>
      <c r="M887">
        <v>157</v>
      </c>
      <c r="N887">
        <v>9</v>
      </c>
      <c r="O887" t="s">
        <v>2214</v>
      </c>
      <c r="P887" t="s">
        <v>38</v>
      </c>
      <c r="Q887">
        <v>14</v>
      </c>
      <c r="R887">
        <v>0</v>
      </c>
      <c r="S887" t="s">
        <v>1621</v>
      </c>
      <c r="T887" t="s">
        <v>1965</v>
      </c>
      <c r="U887" t="s">
        <v>463</v>
      </c>
      <c r="V887" t="s">
        <v>1210</v>
      </c>
      <c r="W887" t="s">
        <v>819</v>
      </c>
      <c r="X887" t="s">
        <v>2233</v>
      </c>
      <c r="Y887" t="s">
        <v>45</v>
      </c>
      <c r="Z887">
        <v>20</v>
      </c>
      <c r="AA887">
        <v>6</v>
      </c>
      <c r="AB887" t="s">
        <v>46</v>
      </c>
      <c r="AC887" t="s">
        <v>47</v>
      </c>
      <c r="AD887" t="s">
        <v>2234</v>
      </c>
      <c r="AE887" t="s">
        <v>2235</v>
      </c>
    </row>
    <row r="888" spans="1:31" x14ac:dyDescent="0.2">
      <c r="A888" t="s">
        <v>31</v>
      </c>
      <c r="B888">
        <v>2022</v>
      </c>
      <c r="C888">
        <v>11</v>
      </c>
      <c r="D888" s="1">
        <v>44654</v>
      </c>
      <c r="E888" t="s">
        <v>85</v>
      </c>
      <c r="F888" t="s">
        <v>499</v>
      </c>
      <c r="G888" t="s">
        <v>2080</v>
      </c>
      <c r="H888" t="s">
        <v>53</v>
      </c>
      <c r="I888" t="s">
        <v>53</v>
      </c>
      <c r="J888" t="s">
        <v>37</v>
      </c>
      <c r="K888">
        <v>180</v>
      </c>
      <c r="L888">
        <v>8</v>
      </c>
      <c r="M888">
        <v>126</v>
      </c>
      <c r="N888">
        <v>10</v>
      </c>
      <c r="O888" t="s">
        <v>2080</v>
      </c>
      <c r="P888" t="s">
        <v>38</v>
      </c>
      <c r="Q888">
        <v>54</v>
      </c>
      <c r="R888">
        <v>0</v>
      </c>
      <c r="S888" t="s">
        <v>2236</v>
      </c>
      <c r="T888" t="s">
        <v>40</v>
      </c>
      <c r="U888" t="s">
        <v>656</v>
      </c>
      <c r="V888" t="s">
        <v>1417</v>
      </c>
      <c r="W888" t="s">
        <v>146</v>
      </c>
      <c r="X888" t="s">
        <v>1193</v>
      </c>
      <c r="Y888" t="s">
        <v>45</v>
      </c>
      <c r="Z888">
        <v>20</v>
      </c>
      <c r="AA888">
        <v>6</v>
      </c>
      <c r="AB888" t="s">
        <v>46</v>
      </c>
      <c r="AC888" t="s">
        <v>47</v>
      </c>
      <c r="AD888" t="s">
        <v>2237</v>
      </c>
      <c r="AE888" t="s">
        <v>2238</v>
      </c>
    </row>
    <row r="889" spans="1:31" x14ac:dyDescent="0.2">
      <c r="A889" t="s">
        <v>31</v>
      </c>
      <c r="B889">
        <v>2022</v>
      </c>
      <c r="C889">
        <v>12</v>
      </c>
      <c r="D889" s="1">
        <v>44655</v>
      </c>
      <c r="E889" t="s">
        <v>85</v>
      </c>
      <c r="F889" t="s">
        <v>2209</v>
      </c>
      <c r="G889" t="s">
        <v>2213</v>
      </c>
      <c r="H889" t="s">
        <v>968</v>
      </c>
      <c r="I889" t="s">
        <v>968</v>
      </c>
      <c r="J889" t="s">
        <v>37</v>
      </c>
      <c r="K889">
        <v>169</v>
      </c>
      <c r="L889">
        <v>7</v>
      </c>
      <c r="M889">
        <v>157</v>
      </c>
      <c r="N889">
        <v>9</v>
      </c>
      <c r="O889" t="s">
        <v>2213</v>
      </c>
      <c r="P889" t="s">
        <v>38</v>
      </c>
      <c r="Q889">
        <v>12</v>
      </c>
      <c r="R889">
        <v>0</v>
      </c>
      <c r="S889" t="s">
        <v>2239</v>
      </c>
      <c r="T889" t="s">
        <v>1279</v>
      </c>
      <c r="U889" t="s">
        <v>455</v>
      </c>
      <c r="V889" t="s">
        <v>1197</v>
      </c>
      <c r="W889" t="s">
        <v>939</v>
      </c>
      <c r="X889" t="s">
        <v>1733</v>
      </c>
      <c r="Y889" t="s">
        <v>45</v>
      </c>
      <c r="Z889">
        <v>20</v>
      </c>
      <c r="AA889">
        <v>6</v>
      </c>
      <c r="AB889" t="s">
        <v>46</v>
      </c>
      <c r="AC889" t="s">
        <v>47</v>
      </c>
      <c r="AD889" t="s">
        <v>2240</v>
      </c>
      <c r="AE889" t="s">
        <v>2241</v>
      </c>
    </row>
    <row r="890" spans="1:31" x14ac:dyDescent="0.2">
      <c r="A890" t="s">
        <v>31</v>
      </c>
      <c r="B890">
        <v>2022</v>
      </c>
      <c r="C890">
        <v>13</v>
      </c>
      <c r="D890" s="1">
        <v>44656</v>
      </c>
      <c r="E890" t="s">
        <v>85</v>
      </c>
      <c r="F890" t="s">
        <v>2075</v>
      </c>
      <c r="G890" t="s">
        <v>66</v>
      </c>
      <c r="H890" t="s">
        <v>35</v>
      </c>
      <c r="I890" t="s">
        <v>35</v>
      </c>
      <c r="J890" t="s">
        <v>37</v>
      </c>
      <c r="K890">
        <v>169</v>
      </c>
      <c r="L890">
        <v>3</v>
      </c>
      <c r="M890">
        <v>173</v>
      </c>
      <c r="N890">
        <v>6</v>
      </c>
      <c r="O890" t="s">
        <v>35</v>
      </c>
      <c r="P890" t="s">
        <v>38</v>
      </c>
      <c r="Q890">
        <v>0</v>
      </c>
      <c r="R890">
        <v>4</v>
      </c>
      <c r="S890" t="s">
        <v>237</v>
      </c>
      <c r="T890" t="s">
        <v>1772</v>
      </c>
      <c r="U890" t="s">
        <v>146</v>
      </c>
      <c r="V890" t="s">
        <v>1728</v>
      </c>
      <c r="W890" t="s">
        <v>989</v>
      </c>
      <c r="X890" t="s">
        <v>621</v>
      </c>
      <c r="Y890" t="s">
        <v>45</v>
      </c>
      <c r="Z890">
        <v>20</v>
      </c>
      <c r="AA890">
        <v>6</v>
      </c>
      <c r="AB890" t="s">
        <v>46</v>
      </c>
      <c r="AC890" t="s">
        <v>47</v>
      </c>
      <c r="AD890" t="s">
        <v>2231</v>
      </c>
      <c r="AE890" t="s">
        <v>2242</v>
      </c>
    </row>
    <row r="891" spans="1:31" x14ac:dyDescent="0.2">
      <c r="A891" t="s">
        <v>31</v>
      </c>
      <c r="B891">
        <v>2022</v>
      </c>
      <c r="C891">
        <v>14</v>
      </c>
      <c r="D891" s="1">
        <v>44657</v>
      </c>
      <c r="E891" t="s">
        <v>807</v>
      </c>
      <c r="F891" t="s">
        <v>2218</v>
      </c>
      <c r="G891" t="s">
        <v>87</v>
      </c>
      <c r="H891" t="s">
        <v>36</v>
      </c>
      <c r="I891" t="s">
        <v>36</v>
      </c>
      <c r="J891" t="s">
        <v>37</v>
      </c>
      <c r="K891">
        <v>161</v>
      </c>
      <c r="L891">
        <v>4</v>
      </c>
      <c r="M891">
        <v>162</v>
      </c>
      <c r="N891">
        <v>5</v>
      </c>
      <c r="O891" t="s">
        <v>36</v>
      </c>
      <c r="P891" t="s">
        <v>38</v>
      </c>
      <c r="Q891">
        <v>0</v>
      </c>
      <c r="R891">
        <v>5</v>
      </c>
      <c r="S891" t="s">
        <v>2057</v>
      </c>
      <c r="T891" t="s">
        <v>1553</v>
      </c>
      <c r="U891" t="s">
        <v>819</v>
      </c>
      <c r="V891" t="s">
        <v>463</v>
      </c>
      <c r="W891" t="s">
        <v>1210</v>
      </c>
      <c r="X891" t="s">
        <v>2219</v>
      </c>
      <c r="Y891" t="s">
        <v>45</v>
      </c>
      <c r="Z891">
        <v>20</v>
      </c>
      <c r="AA891">
        <v>6</v>
      </c>
      <c r="AB891" t="s">
        <v>46</v>
      </c>
      <c r="AC891" t="s">
        <v>47</v>
      </c>
      <c r="AD891" t="s">
        <v>2243</v>
      </c>
      <c r="AE891" t="s">
        <v>2244</v>
      </c>
    </row>
    <row r="892" spans="1:31" x14ac:dyDescent="0.2">
      <c r="A892" t="s">
        <v>31</v>
      </c>
      <c r="B892">
        <v>2022</v>
      </c>
      <c r="C892">
        <v>15</v>
      </c>
      <c r="D892" s="1">
        <v>44658</v>
      </c>
      <c r="E892" t="s">
        <v>85</v>
      </c>
      <c r="F892" t="s">
        <v>2209</v>
      </c>
      <c r="G892" t="s">
        <v>1820</v>
      </c>
      <c r="H892" t="s">
        <v>2213</v>
      </c>
      <c r="I892" t="s">
        <v>2213</v>
      </c>
      <c r="J892" t="s">
        <v>37</v>
      </c>
      <c r="K892">
        <v>149</v>
      </c>
      <c r="L892">
        <v>3</v>
      </c>
      <c r="M892">
        <v>155</v>
      </c>
      <c r="N892">
        <v>4</v>
      </c>
      <c r="O892" t="s">
        <v>2213</v>
      </c>
      <c r="P892" t="s">
        <v>38</v>
      </c>
      <c r="Q892">
        <v>0</v>
      </c>
      <c r="R892">
        <v>6</v>
      </c>
      <c r="S892" t="s">
        <v>1434</v>
      </c>
      <c r="T892" t="s">
        <v>1965</v>
      </c>
      <c r="U892" t="s">
        <v>656</v>
      </c>
      <c r="V892" t="s">
        <v>982</v>
      </c>
      <c r="W892" t="s">
        <v>455</v>
      </c>
      <c r="X892" t="s">
        <v>2228</v>
      </c>
      <c r="Y892" t="s">
        <v>45</v>
      </c>
      <c r="Z892">
        <v>20</v>
      </c>
      <c r="AA892">
        <v>6</v>
      </c>
      <c r="AB892" t="s">
        <v>46</v>
      </c>
      <c r="AC892" t="s">
        <v>47</v>
      </c>
      <c r="AD892" t="s">
        <v>2245</v>
      </c>
      <c r="AE892" t="s">
        <v>2246</v>
      </c>
    </row>
    <row r="893" spans="1:31" x14ac:dyDescent="0.2">
      <c r="A893" t="s">
        <v>31</v>
      </c>
      <c r="B893">
        <v>2022</v>
      </c>
      <c r="C893">
        <v>16</v>
      </c>
      <c r="D893" s="1">
        <v>44659</v>
      </c>
      <c r="E893" t="s">
        <v>85</v>
      </c>
      <c r="F893" t="s">
        <v>499</v>
      </c>
      <c r="G893" t="s">
        <v>2080</v>
      </c>
      <c r="H893" t="s">
        <v>2214</v>
      </c>
      <c r="I893" t="s">
        <v>2214</v>
      </c>
      <c r="J893" t="s">
        <v>37</v>
      </c>
      <c r="K893">
        <v>189</v>
      </c>
      <c r="L893">
        <v>9</v>
      </c>
      <c r="M893">
        <v>190</v>
      </c>
      <c r="N893">
        <v>4</v>
      </c>
      <c r="O893" t="s">
        <v>2214</v>
      </c>
      <c r="P893" t="s">
        <v>38</v>
      </c>
      <c r="Q893">
        <v>0</v>
      </c>
      <c r="R893">
        <v>6</v>
      </c>
      <c r="S893" t="s">
        <v>1930</v>
      </c>
      <c r="T893" t="s">
        <v>40</v>
      </c>
      <c r="U893" t="s">
        <v>146</v>
      </c>
      <c r="V893" t="s">
        <v>939</v>
      </c>
      <c r="W893" t="s">
        <v>791</v>
      </c>
      <c r="X893" t="s">
        <v>2204</v>
      </c>
      <c r="Y893" t="s">
        <v>45</v>
      </c>
      <c r="Z893">
        <v>20</v>
      </c>
      <c r="AA893">
        <v>6</v>
      </c>
      <c r="AB893" t="s">
        <v>46</v>
      </c>
      <c r="AC893" t="s">
        <v>47</v>
      </c>
      <c r="AD893" t="s">
        <v>2247</v>
      </c>
      <c r="AE893" t="s">
        <v>2248</v>
      </c>
    </row>
    <row r="894" spans="1:31" x14ac:dyDescent="0.2">
      <c r="A894" t="s">
        <v>31</v>
      </c>
      <c r="B894">
        <v>2022</v>
      </c>
      <c r="C894">
        <v>17</v>
      </c>
      <c r="D894" s="1">
        <v>44660</v>
      </c>
      <c r="E894" t="s">
        <v>85</v>
      </c>
      <c r="F894" t="s">
        <v>2209</v>
      </c>
      <c r="G894" t="s">
        <v>53</v>
      </c>
      <c r="H894" t="s">
        <v>968</v>
      </c>
      <c r="I894" t="s">
        <v>968</v>
      </c>
      <c r="J894" t="s">
        <v>37</v>
      </c>
      <c r="K894">
        <v>154</v>
      </c>
      <c r="L894">
        <v>7</v>
      </c>
      <c r="M894">
        <v>155</v>
      </c>
      <c r="N894">
        <v>2</v>
      </c>
      <c r="O894" t="s">
        <v>968</v>
      </c>
      <c r="P894" t="s">
        <v>38</v>
      </c>
      <c r="Q894">
        <v>0</v>
      </c>
      <c r="R894">
        <v>8</v>
      </c>
      <c r="S894" t="s">
        <v>2249</v>
      </c>
      <c r="T894" t="s">
        <v>40</v>
      </c>
      <c r="U894" t="s">
        <v>1197</v>
      </c>
      <c r="V894" t="s">
        <v>989</v>
      </c>
      <c r="W894" t="s">
        <v>1417</v>
      </c>
      <c r="X894" t="s">
        <v>1547</v>
      </c>
      <c r="Y894" t="s">
        <v>45</v>
      </c>
      <c r="Z894">
        <v>20</v>
      </c>
      <c r="AA894">
        <v>6</v>
      </c>
      <c r="AB894" t="s">
        <v>46</v>
      </c>
      <c r="AC894" t="s">
        <v>47</v>
      </c>
      <c r="AD894" t="s">
        <v>2250</v>
      </c>
      <c r="AE894" t="s">
        <v>2251</v>
      </c>
    </row>
    <row r="895" spans="1:31" x14ac:dyDescent="0.2">
      <c r="A895" t="s">
        <v>31</v>
      </c>
      <c r="B895">
        <v>2022</v>
      </c>
      <c r="C895">
        <v>18</v>
      </c>
      <c r="D895" s="1">
        <v>44660</v>
      </c>
      <c r="E895" t="s">
        <v>807</v>
      </c>
      <c r="F895" t="s">
        <v>2218</v>
      </c>
      <c r="G895" t="s">
        <v>87</v>
      </c>
      <c r="H895" t="s">
        <v>35</v>
      </c>
      <c r="I895" t="s">
        <v>35</v>
      </c>
      <c r="J895" t="s">
        <v>37</v>
      </c>
      <c r="K895">
        <v>151</v>
      </c>
      <c r="L895">
        <v>6</v>
      </c>
      <c r="M895">
        <v>152</v>
      </c>
      <c r="N895">
        <v>3</v>
      </c>
      <c r="O895" t="s">
        <v>35</v>
      </c>
      <c r="P895" t="s">
        <v>38</v>
      </c>
      <c r="Q895">
        <v>0</v>
      </c>
      <c r="R895">
        <v>7</v>
      </c>
      <c r="S895" t="s">
        <v>2252</v>
      </c>
      <c r="T895" t="s">
        <v>1553</v>
      </c>
      <c r="U895" t="s">
        <v>819</v>
      </c>
      <c r="V895" t="s">
        <v>463</v>
      </c>
      <c r="W895" t="s">
        <v>1210</v>
      </c>
      <c r="X895" t="s">
        <v>2233</v>
      </c>
      <c r="Y895" t="s">
        <v>45</v>
      </c>
      <c r="Z895">
        <v>20</v>
      </c>
      <c r="AA895">
        <v>6</v>
      </c>
      <c r="AB895" t="s">
        <v>46</v>
      </c>
      <c r="AC895" t="s">
        <v>47</v>
      </c>
      <c r="AD895" t="s">
        <v>2253</v>
      </c>
      <c r="AE895" t="s">
        <v>2254</v>
      </c>
    </row>
    <row r="896" spans="1:31" x14ac:dyDescent="0.2">
      <c r="A896" t="s">
        <v>31</v>
      </c>
      <c r="B896">
        <v>2022</v>
      </c>
      <c r="C896">
        <v>19</v>
      </c>
      <c r="D896" s="1">
        <v>44661</v>
      </c>
      <c r="E896" t="s">
        <v>85</v>
      </c>
      <c r="F896" t="s">
        <v>499</v>
      </c>
      <c r="G896" t="s">
        <v>1820</v>
      </c>
      <c r="H896" t="s">
        <v>36</v>
      </c>
      <c r="I896" t="s">
        <v>36</v>
      </c>
      <c r="J896" t="s">
        <v>37</v>
      </c>
      <c r="K896">
        <v>215</v>
      </c>
      <c r="L896">
        <v>5</v>
      </c>
      <c r="M896">
        <v>171</v>
      </c>
      <c r="N896">
        <v>10</v>
      </c>
      <c r="O896" t="s">
        <v>1820</v>
      </c>
      <c r="P896" t="s">
        <v>38</v>
      </c>
      <c r="Q896">
        <v>44</v>
      </c>
      <c r="R896">
        <v>0</v>
      </c>
      <c r="S896" t="s">
        <v>1789</v>
      </c>
      <c r="T896" t="s">
        <v>1772</v>
      </c>
      <c r="U896" t="s">
        <v>1283</v>
      </c>
      <c r="V896" t="s">
        <v>455</v>
      </c>
      <c r="W896" t="s">
        <v>1728</v>
      </c>
      <c r="X896" t="s">
        <v>1193</v>
      </c>
      <c r="Y896" t="s">
        <v>45</v>
      </c>
      <c r="Z896">
        <v>20</v>
      </c>
      <c r="AA896">
        <v>6</v>
      </c>
      <c r="AB896" t="s">
        <v>46</v>
      </c>
      <c r="AC896" t="s">
        <v>47</v>
      </c>
      <c r="AD896" t="s">
        <v>2255</v>
      </c>
      <c r="AE896" t="s">
        <v>2256</v>
      </c>
    </row>
    <row r="897" spans="1:31" x14ac:dyDescent="0.2">
      <c r="A897" t="s">
        <v>31</v>
      </c>
      <c r="B897">
        <v>2022</v>
      </c>
      <c r="C897">
        <v>20</v>
      </c>
      <c r="D897" s="1">
        <v>44661</v>
      </c>
      <c r="E897" t="s">
        <v>85</v>
      </c>
      <c r="F897" t="s">
        <v>2075</v>
      </c>
      <c r="G897" t="s">
        <v>66</v>
      </c>
      <c r="H897" t="s">
        <v>2213</v>
      </c>
      <c r="I897" t="s">
        <v>2213</v>
      </c>
      <c r="J897" t="s">
        <v>37</v>
      </c>
      <c r="K897">
        <v>165</v>
      </c>
      <c r="L897">
        <v>6</v>
      </c>
      <c r="M897">
        <v>162</v>
      </c>
      <c r="N897">
        <v>8</v>
      </c>
      <c r="O897" t="s">
        <v>66</v>
      </c>
      <c r="P897" t="s">
        <v>38</v>
      </c>
      <c r="Q897">
        <v>3</v>
      </c>
      <c r="R897">
        <v>0</v>
      </c>
      <c r="S897" t="s">
        <v>1143</v>
      </c>
      <c r="T897" t="s">
        <v>40</v>
      </c>
      <c r="U897" t="s">
        <v>146</v>
      </c>
      <c r="V897" t="s">
        <v>982</v>
      </c>
      <c r="W897" t="s">
        <v>791</v>
      </c>
      <c r="X897" t="s">
        <v>1733</v>
      </c>
      <c r="Y897" t="s">
        <v>45</v>
      </c>
      <c r="Z897">
        <v>20</v>
      </c>
      <c r="AA897">
        <v>6</v>
      </c>
      <c r="AB897" t="s">
        <v>46</v>
      </c>
      <c r="AC897" t="s">
        <v>47</v>
      </c>
      <c r="AD897" t="s">
        <v>2257</v>
      </c>
      <c r="AE897" t="s">
        <v>2258</v>
      </c>
    </row>
    <row r="898" spans="1:31" x14ac:dyDescent="0.2">
      <c r="A898" t="s">
        <v>31</v>
      </c>
      <c r="B898">
        <v>2022</v>
      </c>
      <c r="C898">
        <v>21</v>
      </c>
      <c r="D898" s="1">
        <v>44662</v>
      </c>
      <c r="E898" t="s">
        <v>85</v>
      </c>
      <c r="F898" t="s">
        <v>2209</v>
      </c>
      <c r="G898" t="s">
        <v>2214</v>
      </c>
      <c r="H898" t="s">
        <v>968</v>
      </c>
      <c r="I898" t="s">
        <v>968</v>
      </c>
      <c r="J898" t="s">
        <v>37</v>
      </c>
      <c r="K898">
        <v>162</v>
      </c>
      <c r="L898">
        <v>7</v>
      </c>
      <c r="M898">
        <v>168</v>
      </c>
      <c r="N898">
        <v>3</v>
      </c>
      <c r="O898" t="s">
        <v>968</v>
      </c>
      <c r="P898" t="s">
        <v>38</v>
      </c>
      <c r="Q898">
        <v>0</v>
      </c>
      <c r="R898">
        <v>8</v>
      </c>
      <c r="S898" t="s">
        <v>1596</v>
      </c>
      <c r="T898" t="s">
        <v>2215</v>
      </c>
      <c r="U898" t="s">
        <v>2204</v>
      </c>
      <c r="V898" t="s">
        <v>656</v>
      </c>
      <c r="W898" t="s">
        <v>939</v>
      </c>
      <c r="X898" t="s">
        <v>621</v>
      </c>
      <c r="Y898" t="s">
        <v>45</v>
      </c>
      <c r="Z898">
        <v>20</v>
      </c>
      <c r="AA898">
        <v>6</v>
      </c>
      <c r="AB898" t="s">
        <v>46</v>
      </c>
      <c r="AC898" t="s">
        <v>47</v>
      </c>
      <c r="AD898" t="s">
        <v>2259</v>
      </c>
      <c r="AE898" t="s">
        <v>2260</v>
      </c>
    </row>
    <row r="899" spans="1:31" x14ac:dyDescent="0.2">
      <c r="A899" t="s">
        <v>31</v>
      </c>
      <c r="B899">
        <v>2022</v>
      </c>
      <c r="C899">
        <v>22</v>
      </c>
      <c r="D899" s="1">
        <v>44663</v>
      </c>
      <c r="E899" t="s">
        <v>85</v>
      </c>
      <c r="F899" t="s">
        <v>2209</v>
      </c>
      <c r="G899" t="s">
        <v>53</v>
      </c>
      <c r="H899" t="s">
        <v>35</v>
      </c>
      <c r="I899" t="s">
        <v>35</v>
      </c>
      <c r="J899" t="s">
        <v>37</v>
      </c>
      <c r="K899">
        <v>216</v>
      </c>
      <c r="L899">
        <v>4</v>
      </c>
      <c r="M899">
        <v>193</v>
      </c>
      <c r="N899">
        <v>9</v>
      </c>
      <c r="O899" t="s">
        <v>53</v>
      </c>
      <c r="P899" t="s">
        <v>38</v>
      </c>
      <c r="Q899">
        <v>23</v>
      </c>
      <c r="R899">
        <v>0</v>
      </c>
      <c r="S899" t="s">
        <v>2261</v>
      </c>
      <c r="T899" t="s">
        <v>40</v>
      </c>
      <c r="U899" t="s">
        <v>989</v>
      </c>
      <c r="V899" t="s">
        <v>1547</v>
      </c>
      <c r="W899" t="s">
        <v>1417</v>
      </c>
      <c r="X899" t="s">
        <v>2228</v>
      </c>
      <c r="Y899" t="s">
        <v>45</v>
      </c>
      <c r="Z899">
        <v>20</v>
      </c>
      <c r="AA899">
        <v>6</v>
      </c>
      <c r="AB899" t="s">
        <v>46</v>
      </c>
      <c r="AC899" t="s">
        <v>47</v>
      </c>
      <c r="AD899" t="s">
        <v>2262</v>
      </c>
      <c r="AE899" t="s">
        <v>2263</v>
      </c>
    </row>
    <row r="900" spans="1:31" x14ac:dyDescent="0.2">
      <c r="A900" t="s">
        <v>31</v>
      </c>
      <c r="B900">
        <v>2022</v>
      </c>
      <c r="C900">
        <v>23</v>
      </c>
      <c r="D900" s="1">
        <v>44664</v>
      </c>
      <c r="E900" t="s">
        <v>807</v>
      </c>
      <c r="F900" t="s">
        <v>2218</v>
      </c>
      <c r="G900" t="s">
        <v>2080</v>
      </c>
      <c r="H900" t="s">
        <v>87</v>
      </c>
      <c r="I900" t="s">
        <v>87</v>
      </c>
      <c r="J900" t="s">
        <v>37</v>
      </c>
      <c r="K900">
        <v>198</v>
      </c>
      <c r="L900">
        <v>5</v>
      </c>
      <c r="M900">
        <v>186</v>
      </c>
      <c r="N900">
        <v>9</v>
      </c>
      <c r="O900" t="s">
        <v>2080</v>
      </c>
      <c r="P900" t="s">
        <v>38</v>
      </c>
      <c r="Q900">
        <v>12</v>
      </c>
      <c r="R900">
        <v>0</v>
      </c>
      <c r="S900" t="s">
        <v>1300</v>
      </c>
      <c r="T900" t="s">
        <v>1553</v>
      </c>
      <c r="U900" t="s">
        <v>819</v>
      </c>
      <c r="V900" t="s">
        <v>1210</v>
      </c>
      <c r="W900" t="s">
        <v>463</v>
      </c>
      <c r="X900" t="s">
        <v>2219</v>
      </c>
      <c r="Y900" t="s">
        <v>45</v>
      </c>
      <c r="Z900">
        <v>20</v>
      </c>
      <c r="AA900">
        <v>6</v>
      </c>
      <c r="AB900" t="s">
        <v>46</v>
      </c>
      <c r="AC900" t="s">
        <v>47</v>
      </c>
      <c r="AD900" t="s">
        <v>2264</v>
      </c>
      <c r="AE900" t="s">
        <v>2265</v>
      </c>
    </row>
    <row r="901" spans="1:31" x14ac:dyDescent="0.2">
      <c r="A901" t="s">
        <v>31</v>
      </c>
      <c r="B901">
        <v>2022</v>
      </c>
      <c r="C901">
        <v>24</v>
      </c>
      <c r="D901" s="1">
        <v>44665</v>
      </c>
      <c r="E901" t="s">
        <v>85</v>
      </c>
      <c r="F901" t="s">
        <v>2209</v>
      </c>
      <c r="G901" t="s">
        <v>2214</v>
      </c>
      <c r="H901" t="s">
        <v>66</v>
      </c>
      <c r="I901" t="s">
        <v>66</v>
      </c>
      <c r="J901" t="s">
        <v>37</v>
      </c>
      <c r="K901">
        <v>192</v>
      </c>
      <c r="L901">
        <v>4</v>
      </c>
      <c r="M901">
        <v>155</v>
      </c>
      <c r="N901">
        <v>9</v>
      </c>
      <c r="O901" t="s">
        <v>2214</v>
      </c>
      <c r="P901" t="s">
        <v>38</v>
      </c>
      <c r="Q901">
        <v>37</v>
      </c>
      <c r="R901">
        <v>0</v>
      </c>
      <c r="S901" t="s">
        <v>1369</v>
      </c>
      <c r="T901" t="s">
        <v>1279</v>
      </c>
      <c r="U901" t="s">
        <v>1283</v>
      </c>
      <c r="V901" t="s">
        <v>1193</v>
      </c>
      <c r="W901" t="s">
        <v>455</v>
      </c>
      <c r="X901" t="s">
        <v>982</v>
      </c>
      <c r="Y901" t="s">
        <v>45</v>
      </c>
      <c r="Z901">
        <v>20</v>
      </c>
      <c r="AA901">
        <v>6</v>
      </c>
      <c r="AB901" t="s">
        <v>46</v>
      </c>
      <c r="AC901" t="s">
        <v>47</v>
      </c>
      <c r="AD901" t="s">
        <v>2266</v>
      </c>
      <c r="AE901" t="s">
        <v>2267</v>
      </c>
    </row>
    <row r="902" spans="1:31" x14ac:dyDescent="0.2">
      <c r="A902" t="s">
        <v>31</v>
      </c>
      <c r="B902">
        <v>2022</v>
      </c>
      <c r="C902">
        <v>25</v>
      </c>
      <c r="D902" s="1">
        <v>44666</v>
      </c>
      <c r="E902" t="s">
        <v>85</v>
      </c>
      <c r="F902" t="s">
        <v>499</v>
      </c>
      <c r="G902" t="s">
        <v>36</v>
      </c>
      <c r="H902" t="s">
        <v>968</v>
      </c>
      <c r="I902" t="s">
        <v>968</v>
      </c>
      <c r="J902" t="s">
        <v>37</v>
      </c>
      <c r="K902">
        <v>175</v>
      </c>
      <c r="L902">
        <v>8</v>
      </c>
      <c r="M902">
        <v>176</v>
      </c>
      <c r="N902">
        <v>3</v>
      </c>
      <c r="O902" t="s">
        <v>968</v>
      </c>
      <c r="P902" t="s">
        <v>38</v>
      </c>
      <c r="Q902">
        <v>0</v>
      </c>
      <c r="R902">
        <v>7</v>
      </c>
      <c r="S902" t="s">
        <v>1637</v>
      </c>
      <c r="T902" t="s">
        <v>1772</v>
      </c>
      <c r="U902" t="s">
        <v>1733</v>
      </c>
      <c r="V902" t="s">
        <v>939</v>
      </c>
      <c r="W902" t="s">
        <v>1728</v>
      </c>
      <c r="X902" t="s">
        <v>791</v>
      </c>
      <c r="Y902" t="s">
        <v>45</v>
      </c>
      <c r="Z902">
        <v>20</v>
      </c>
      <c r="AA902">
        <v>6</v>
      </c>
      <c r="AB902" t="s">
        <v>46</v>
      </c>
      <c r="AC902" t="s">
        <v>47</v>
      </c>
      <c r="AD902" t="s">
        <v>2268</v>
      </c>
      <c r="AE902" t="s">
        <v>2269</v>
      </c>
    </row>
    <row r="903" spans="1:31" x14ac:dyDescent="0.2">
      <c r="A903" t="s">
        <v>31</v>
      </c>
      <c r="B903">
        <v>2022</v>
      </c>
      <c r="C903">
        <v>26</v>
      </c>
      <c r="D903" s="1">
        <v>44667</v>
      </c>
      <c r="E903" t="s">
        <v>85</v>
      </c>
      <c r="F903" t="s">
        <v>499</v>
      </c>
      <c r="G903" t="s">
        <v>2213</v>
      </c>
      <c r="H903" t="s">
        <v>87</v>
      </c>
      <c r="I903" t="s">
        <v>87</v>
      </c>
      <c r="J903" t="s">
        <v>37</v>
      </c>
      <c r="K903">
        <v>199</v>
      </c>
      <c r="L903">
        <v>4</v>
      </c>
      <c r="M903">
        <v>181</v>
      </c>
      <c r="N903">
        <v>9</v>
      </c>
      <c r="O903" t="s">
        <v>2213</v>
      </c>
      <c r="P903" t="s">
        <v>38</v>
      </c>
      <c r="Q903">
        <v>18</v>
      </c>
      <c r="R903">
        <v>0</v>
      </c>
      <c r="S903" t="s">
        <v>1684</v>
      </c>
      <c r="T903" t="s">
        <v>1965</v>
      </c>
      <c r="U903" t="s">
        <v>146</v>
      </c>
      <c r="V903" t="s">
        <v>621</v>
      </c>
      <c r="W903" t="s">
        <v>1197</v>
      </c>
      <c r="X903" t="s">
        <v>1417</v>
      </c>
      <c r="Y903" t="s">
        <v>45</v>
      </c>
      <c r="Z903">
        <v>20</v>
      </c>
      <c r="AA903">
        <v>6</v>
      </c>
      <c r="AB903" t="s">
        <v>46</v>
      </c>
      <c r="AC903" t="s">
        <v>47</v>
      </c>
      <c r="AD903" t="s">
        <v>2270</v>
      </c>
      <c r="AE903" t="s">
        <v>2271</v>
      </c>
    </row>
    <row r="904" spans="1:31" x14ac:dyDescent="0.2">
      <c r="A904" t="s">
        <v>31</v>
      </c>
      <c r="B904">
        <v>2022</v>
      </c>
      <c r="C904">
        <v>27</v>
      </c>
      <c r="D904" s="1">
        <v>44667</v>
      </c>
      <c r="E904" t="s">
        <v>85</v>
      </c>
      <c r="F904" t="s">
        <v>2075</v>
      </c>
      <c r="G904" t="s">
        <v>35</v>
      </c>
      <c r="H904" t="s">
        <v>1820</v>
      </c>
      <c r="I904" t="s">
        <v>1820</v>
      </c>
      <c r="J904" t="s">
        <v>37</v>
      </c>
      <c r="K904">
        <v>189</v>
      </c>
      <c r="L904">
        <v>5</v>
      </c>
      <c r="M904">
        <v>173</v>
      </c>
      <c r="N904">
        <v>7</v>
      </c>
      <c r="O904" t="s">
        <v>35</v>
      </c>
      <c r="P904" t="s">
        <v>38</v>
      </c>
      <c r="Q904">
        <v>16</v>
      </c>
      <c r="R904">
        <v>0</v>
      </c>
      <c r="S904" t="s">
        <v>237</v>
      </c>
      <c r="T904" t="s">
        <v>40</v>
      </c>
      <c r="U904" t="s">
        <v>2204</v>
      </c>
      <c r="V904" t="s">
        <v>455</v>
      </c>
      <c r="W904" t="s">
        <v>1283</v>
      </c>
      <c r="X904" t="s">
        <v>1547</v>
      </c>
      <c r="Y904" t="s">
        <v>45</v>
      </c>
      <c r="Z904">
        <v>20</v>
      </c>
      <c r="AA904">
        <v>6</v>
      </c>
      <c r="AB904" t="s">
        <v>46</v>
      </c>
      <c r="AC904" t="s">
        <v>47</v>
      </c>
      <c r="AD904" t="s">
        <v>2272</v>
      </c>
      <c r="AE904" t="s">
        <v>2273</v>
      </c>
    </row>
    <row r="905" spans="1:31" x14ac:dyDescent="0.2">
      <c r="A905" t="s">
        <v>31</v>
      </c>
      <c r="B905">
        <v>2022</v>
      </c>
      <c r="C905">
        <v>28</v>
      </c>
      <c r="D905" s="1">
        <v>44668</v>
      </c>
      <c r="E905" t="s">
        <v>85</v>
      </c>
      <c r="F905" t="s">
        <v>2209</v>
      </c>
      <c r="G905" t="s">
        <v>2080</v>
      </c>
      <c r="H905" t="s">
        <v>968</v>
      </c>
      <c r="I905" t="s">
        <v>968</v>
      </c>
      <c r="J905" t="s">
        <v>37</v>
      </c>
      <c r="K905">
        <v>151</v>
      </c>
      <c r="L905">
        <v>10</v>
      </c>
      <c r="M905">
        <v>152</v>
      </c>
      <c r="N905">
        <v>3</v>
      </c>
      <c r="O905" t="s">
        <v>968</v>
      </c>
      <c r="P905" t="s">
        <v>38</v>
      </c>
      <c r="Q905">
        <v>0</v>
      </c>
      <c r="R905">
        <v>7</v>
      </c>
      <c r="S905" t="s">
        <v>2274</v>
      </c>
      <c r="T905" t="s">
        <v>2215</v>
      </c>
      <c r="U905" t="s">
        <v>791</v>
      </c>
      <c r="V905" t="s">
        <v>1193</v>
      </c>
      <c r="W905" t="s">
        <v>656</v>
      </c>
      <c r="X905" t="s">
        <v>2228</v>
      </c>
      <c r="Y905" t="s">
        <v>45</v>
      </c>
      <c r="Z905">
        <v>20</v>
      </c>
      <c r="AA905">
        <v>6</v>
      </c>
      <c r="AB905" t="s">
        <v>46</v>
      </c>
      <c r="AC905" t="s">
        <v>47</v>
      </c>
      <c r="AD905" t="s">
        <v>2275</v>
      </c>
      <c r="AE905" t="s">
        <v>2276</v>
      </c>
    </row>
    <row r="906" spans="1:31" x14ac:dyDescent="0.2">
      <c r="A906" t="s">
        <v>31</v>
      </c>
      <c r="B906">
        <v>2022</v>
      </c>
      <c r="C906">
        <v>29</v>
      </c>
      <c r="D906" s="1">
        <v>44668</v>
      </c>
      <c r="E906" t="s">
        <v>807</v>
      </c>
      <c r="F906" t="s">
        <v>2218</v>
      </c>
      <c r="G906" t="s">
        <v>53</v>
      </c>
      <c r="H906" t="s">
        <v>2214</v>
      </c>
      <c r="I906" t="s">
        <v>2214</v>
      </c>
      <c r="J906" t="s">
        <v>37</v>
      </c>
      <c r="K906">
        <v>169</v>
      </c>
      <c r="L906">
        <v>5</v>
      </c>
      <c r="M906">
        <v>170</v>
      </c>
      <c r="N906">
        <v>7</v>
      </c>
      <c r="O906" t="s">
        <v>2214</v>
      </c>
      <c r="P906" t="s">
        <v>38</v>
      </c>
      <c r="Q906">
        <v>0</v>
      </c>
      <c r="R906">
        <v>3</v>
      </c>
      <c r="S906" t="s">
        <v>1030</v>
      </c>
      <c r="T906" t="s">
        <v>1553</v>
      </c>
      <c r="U906" t="s">
        <v>463</v>
      </c>
      <c r="V906" t="s">
        <v>1210</v>
      </c>
      <c r="W906" t="s">
        <v>819</v>
      </c>
      <c r="X906" t="s">
        <v>2233</v>
      </c>
      <c r="Y906" t="s">
        <v>45</v>
      </c>
      <c r="Z906">
        <v>20</v>
      </c>
      <c r="AA906">
        <v>6</v>
      </c>
      <c r="AB906" t="s">
        <v>46</v>
      </c>
      <c r="AC906" t="s">
        <v>47</v>
      </c>
      <c r="AD906" t="s">
        <v>2277</v>
      </c>
      <c r="AE906" t="s">
        <v>2278</v>
      </c>
    </row>
    <row r="907" spans="1:31" x14ac:dyDescent="0.2">
      <c r="A907" t="s">
        <v>31</v>
      </c>
      <c r="B907">
        <v>2022</v>
      </c>
      <c r="C907">
        <v>30</v>
      </c>
      <c r="D907" s="1">
        <v>44669</v>
      </c>
      <c r="E907" t="s">
        <v>85</v>
      </c>
      <c r="F907" t="s">
        <v>499</v>
      </c>
      <c r="G907" t="s">
        <v>66</v>
      </c>
      <c r="H907" t="s">
        <v>36</v>
      </c>
      <c r="I907" t="s">
        <v>36</v>
      </c>
      <c r="J907" t="s">
        <v>37</v>
      </c>
      <c r="K907">
        <v>217</v>
      </c>
      <c r="L907">
        <v>5</v>
      </c>
      <c r="M907">
        <v>210</v>
      </c>
      <c r="N907">
        <v>10</v>
      </c>
      <c r="O907" t="s">
        <v>66</v>
      </c>
      <c r="P907" t="s">
        <v>38</v>
      </c>
      <c r="Q907">
        <v>7</v>
      </c>
      <c r="R907">
        <v>0</v>
      </c>
      <c r="S907" t="s">
        <v>1143</v>
      </c>
      <c r="T907" t="s">
        <v>1279</v>
      </c>
      <c r="U907" t="s">
        <v>1733</v>
      </c>
      <c r="V907" t="s">
        <v>939</v>
      </c>
      <c r="W907" t="s">
        <v>989</v>
      </c>
      <c r="X907" t="s">
        <v>621</v>
      </c>
      <c r="Y907" t="s">
        <v>45</v>
      </c>
      <c r="Z907">
        <v>20</v>
      </c>
      <c r="AA907">
        <v>6</v>
      </c>
      <c r="AB907" t="s">
        <v>46</v>
      </c>
      <c r="AC907" t="s">
        <v>47</v>
      </c>
      <c r="AD907" t="s">
        <v>2279</v>
      </c>
      <c r="AE907" t="s">
        <v>2280</v>
      </c>
    </row>
    <row r="908" spans="1:31" x14ac:dyDescent="0.2">
      <c r="A908" t="s">
        <v>31</v>
      </c>
      <c r="B908">
        <v>2022</v>
      </c>
      <c r="C908">
        <v>31</v>
      </c>
      <c r="D908" s="1">
        <v>44670</v>
      </c>
      <c r="E908" t="s">
        <v>85</v>
      </c>
      <c r="F908" t="s">
        <v>2209</v>
      </c>
      <c r="G908" t="s">
        <v>35</v>
      </c>
      <c r="H908" t="s">
        <v>2213</v>
      </c>
      <c r="I908" t="s">
        <v>2213</v>
      </c>
      <c r="J908" t="s">
        <v>37</v>
      </c>
      <c r="K908">
        <v>181</v>
      </c>
      <c r="L908">
        <v>6</v>
      </c>
      <c r="M908">
        <v>163</v>
      </c>
      <c r="N908">
        <v>8</v>
      </c>
      <c r="O908" t="s">
        <v>35</v>
      </c>
      <c r="P908" t="s">
        <v>38</v>
      </c>
      <c r="Q908">
        <v>18</v>
      </c>
      <c r="R908">
        <v>0</v>
      </c>
      <c r="S908" t="s">
        <v>822</v>
      </c>
      <c r="T908" t="s">
        <v>1772</v>
      </c>
      <c r="U908" t="s">
        <v>1283</v>
      </c>
      <c r="V908" t="s">
        <v>1547</v>
      </c>
      <c r="W908" t="s">
        <v>455</v>
      </c>
      <c r="X908" t="s">
        <v>2204</v>
      </c>
      <c r="Y908" t="s">
        <v>45</v>
      </c>
      <c r="Z908">
        <v>20</v>
      </c>
      <c r="AA908">
        <v>6</v>
      </c>
      <c r="AB908" t="s">
        <v>46</v>
      </c>
      <c r="AC908" t="s">
        <v>47</v>
      </c>
      <c r="AD908" t="s">
        <v>2281</v>
      </c>
      <c r="AE908" t="s">
        <v>2282</v>
      </c>
    </row>
    <row r="909" spans="1:31" x14ac:dyDescent="0.2">
      <c r="A909" t="s">
        <v>31</v>
      </c>
      <c r="B909">
        <v>2022</v>
      </c>
      <c r="C909">
        <v>32</v>
      </c>
      <c r="D909" s="1">
        <v>44671</v>
      </c>
      <c r="E909" t="s">
        <v>85</v>
      </c>
      <c r="F909" t="s">
        <v>499</v>
      </c>
      <c r="G909" t="s">
        <v>2080</v>
      </c>
      <c r="H909" t="s">
        <v>1820</v>
      </c>
      <c r="I909" t="s">
        <v>1820</v>
      </c>
      <c r="J909" t="s">
        <v>37</v>
      </c>
      <c r="K909">
        <v>115</v>
      </c>
      <c r="L909">
        <v>10</v>
      </c>
      <c r="M909">
        <v>119</v>
      </c>
      <c r="N909">
        <v>1</v>
      </c>
      <c r="O909" t="s">
        <v>1820</v>
      </c>
      <c r="P909" t="s">
        <v>38</v>
      </c>
      <c r="Q909">
        <v>0</v>
      </c>
      <c r="R909">
        <v>9</v>
      </c>
      <c r="S909" t="s">
        <v>1789</v>
      </c>
      <c r="T909" t="s">
        <v>1965</v>
      </c>
      <c r="U909" t="s">
        <v>656</v>
      </c>
      <c r="V909" t="s">
        <v>982</v>
      </c>
      <c r="W909" t="s">
        <v>146</v>
      </c>
      <c r="X909" t="s">
        <v>1193</v>
      </c>
      <c r="Y909" t="s">
        <v>45</v>
      </c>
      <c r="Z909">
        <v>20</v>
      </c>
      <c r="AA909">
        <v>6</v>
      </c>
      <c r="AB909" t="s">
        <v>46</v>
      </c>
      <c r="AC909" t="s">
        <v>47</v>
      </c>
      <c r="AD909" t="s">
        <v>2283</v>
      </c>
      <c r="AE909" t="s">
        <v>2284</v>
      </c>
    </row>
    <row r="910" spans="1:31" x14ac:dyDescent="0.2">
      <c r="A910" t="s">
        <v>31</v>
      </c>
      <c r="B910">
        <v>2022</v>
      </c>
      <c r="C910">
        <v>33</v>
      </c>
      <c r="D910" s="1">
        <v>44672</v>
      </c>
      <c r="E910" t="s">
        <v>2285</v>
      </c>
      <c r="F910" t="s">
        <v>2209</v>
      </c>
      <c r="G910" t="s">
        <v>87</v>
      </c>
      <c r="H910" t="s">
        <v>53</v>
      </c>
      <c r="I910" t="s">
        <v>53</v>
      </c>
      <c r="J910" t="s">
        <v>37</v>
      </c>
      <c r="K910">
        <v>155</v>
      </c>
      <c r="L910">
        <v>7</v>
      </c>
      <c r="M910">
        <v>156</v>
      </c>
      <c r="N910">
        <v>7</v>
      </c>
      <c r="O910" t="s">
        <v>53</v>
      </c>
      <c r="P910" t="s">
        <v>38</v>
      </c>
      <c r="Q910">
        <v>0</v>
      </c>
      <c r="R910">
        <v>3</v>
      </c>
      <c r="S910" t="s">
        <v>2286</v>
      </c>
      <c r="T910" t="s">
        <v>1553</v>
      </c>
      <c r="U910" t="s">
        <v>819</v>
      </c>
      <c r="V910" t="s">
        <v>1210</v>
      </c>
      <c r="W910" t="s">
        <v>463</v>
      </c>
      <c r="X910" t="s">
        <v>2219</v>
      </c>
      <c r="Y910" t="s">
        <v>45</v>
      </c>
      <c r="Z910">
        <v>20</v>
      </c>
      <c r="AA910">
        <v>6</v>
      </c>
      <c r="AB910" t="s">
        <v>46</v>
      </c>
      <c r="AC910" t="s">
        <v>47</v>
      </c>
      <c r="AD910" t="s">
        <v>2287</v>
      </c>
      <c r="AE910" t="s">
        <v>2288</v>
      </c>
    </row>
    <row r="911" spans="1:31" x14ac:dyDescent="0.2">
      <c r="A911" t="s">
        <v>31</v>
      </c>
      <c r="B911">
        <v>2022</v>
      </c>
      <c r="C911">
        <v>34</v>
      </c>
      <c r="D911" s="1">
        <v>44673</v>
      </c>
      <c r="E911" t="s">
        <v>85</v>
      </c>
      <c r="F911" t="s">
        <v>2075</v>
      </c>
      <c r="G911" t="s">
        <v>66</v>
      </c>
      <c r="H911" t="s">
        <v>1820</v>
      </c>
      <c r="I911" t="s">
        <v>1820</v>
      </c>
      <c r="J911" t="s">
        <v>37</v>
      </c>
      <c r="K911">
        <v>222</v>
      </c>
      <c r="L911">
        <v>2</v>
      </c>
      <c r="M911">
        <v>207</v>
      </c>
      <c r="N911">
        <v>8</v>
      </c>
      <c r="O911" t="s">
        <v>66</v>
      </c>
      <c r="P911" t="s">
        <v>38</v>
      </c>
      <c r="Q911">
        <v>15</v>
      </c>
      <c r="R911">
        <v>0</v>
      </c>
      <c r="S911" t="s">
        <v>1599</v>
      </c>
      <c r="T911" t="s">
        <v>2215</v>
      </c>
      <c r="U911" t="s">
        <v>621</v>
      </c>
      <c r="V911" t="s">
        <v>989</v>
      </c>
      <c r="W911" t="s">
        <v>1417</v>
      </c>
      <c r="X911" t="s">
        <v>1733</v>
      </c>
      <c r="Y911" t="s">
        <v>45</v>
      </c>
      <c r="Z911">
        <v>20</v>
      </c>
      <c r="AA911">
        <v>6</v>
      </c>
      <c r="AB911" t="s">
        <v>46</v>
      </c>
      <c r="AC911" t="s">
        <v>47</v>
      </c>
      <c r="AD911" t="s">
        <v>2279</v>
      </c>
      <c r="AE911" t="s">
        <v>2289</v>
      </c>
    </row>
    <row r="912" spans="1:31" x14ac:dyDescent="0.2">
      <c r="A912" t="s">
        <v>31</v>
      </c>
      <c r="B912">
        <v>2022</v>
      </c>
      <c r="C912">
        <v>35</v>
      </c>
      <c r="D912" s="1">
        <v>44674</v>
      </c>
      <c r="E912" t="s">
        <v>2285</v>
      </c>
      <c r="F912" t="s">
        <v>2209</v>
      </c>
      <c r="G912" t="s">
        <v>2214</v>
      </c>
      <c r="H912" t="s">
        <v>36</v>
      </c>
      <c r="I912" t="s">
        <v>2214</v>
      </c>
      <c r="J912" t="s">
        <v>54</v>
      </c>
      <c r="K912">
        <v>156</v>
      </c>
      <c r="L912">
        <v>9</v>
      </c>
      <c r="M912">
        <v>148</v>
      </c>
      <c r="N912">
        <v>8</v>
      </c>
      <c r="O912" t="s">
        <v>2214</v>
      </c>
      <c r="P912" t="s">
        <v>38</v>
      </c>
      <c r="Q912">
        <v>8</v>
      </c>
      <c r="R912">
        <v>0</v>
      </c>
      <c r="S912" t="s">
        <v>1562</v>
      </c>
      <c r="T912" t="s">
        <v>1553</v>
      </c>
      <c r="U912" t="s">
        <v>463</v>
      </c>
      <c r="V912" t="s">
        <v>1210</v>
      </c>
      <c r="W912" t="s">
        <v>819</v>
      </c>
      <c r="X912" t="s">
        <v>2233</v>
      </c>
      <c r="Y912" t="s">
        <v>45</v>
      </c>
      <c r="Z912">
        <v>20</v>
      </c>
      <c r="AA912">
        <v>6</v>
      </c>
      <c r="AB912" t="s">
        <v>46</v>
      </c>
      <c r="AC912" t="s">
        <v>47</v>
      </c>
      <c r="AD912" t="s">
        <v>2290</v>
      </c>
      <c r="AE912" t="s">
        <v>2291</v>
      </c>
    </row>
    <row r="913" spans="1:31" x14ac:dyDescent="0.2">
      <c r="A913" t="s">
        <v>31</v>
      </c>
      <c r="B913">
        <v>2022</v>
      </c>
      <c r="C913">
        <v>36</v>
      </c>
      <c r="D913" s="1">
        <v>44674</v>
      </c>
      <c r="E913" t="s">
        <v>85</v>
      </c>
      <c r="F913" t="s">
        <v>499</v>
      </c>
      <c r="G913" t="s">
        <v>35</v>
      </c>
      <c r="H913" t="s">
        <v>968</v>
      </c>
      <c r="I913" t="s">
        <v>968</v>
      </c>
      <c r="J913" t="s">
        <v>37</v>
      </c>
      <c r="K913">
        <v>68</v>
      </c>
      <c r="L913">
        <v>10</v>
      </c>
      <c r="M913">
        <v>72</v>
      </c>
      <c r="N913">
        <v>1</v>
      </c>
      <c r="O913" t="s">
        <v>968</v>
      </c>
      <c r="P913" t="s">
        <v>38</v>
      </c>
      <c r="Q913">
        <v>0</v>
      </c>
      <c r="R913">
        <v>9</v>
      </c>
      <c r="S913" t="s">
        <v>2292</v>
      </c>
      <c r="T913" t="s">
        <v>1279</v>
      </c>
      <c r="U913" t="s">
        <v>2204</v>
      </c>
      <c r="V913" t="s">
        <v>455</v>
      </c>
      <c r="W913" t="s">
        <v>1283</v>
      </c>
      <c r="X913" t="s">
        <v>1728</v>
      </c>
      <c r="Y913" t="s">
        <v>45</v>
      </c>
      <c r="Z913">
        <v>20</v>
      </c>
      <c r="AA913">
        <v>6</v>
      </c>
      <c r="AB913" t="s">
        <v>46</v>
      </c>
      <c r="AC913" t="s">
        <v>47</v>
      </c>
      <c r="AD913" t="s">
        <v>2293</v>
      </c>
      <c r="AE913" t="s">
        <v>2276</v>
      </c>
    </row>
    <row r="914" spans="1:31" x14ac:dyDescent="0.2">
      <c r="A914" t="s">
        <v>31</v>
      </c>
      <c r="B914">
        <v>2022</v>
      </c>
      <c r="C914">
        <v>37</v>
      </c>
      <c r="D914" s="1">
        <v>44675</v>
      </c>
      <c r="E914" t="s">
        <v>85</v>
      </c>
      <c r="F914" t="s">
        <v>2075</v>
      </c>
      <c r="G914" t="s">
        <v>2213</v>
      </c>
      <c r="H914" t="s">
        <v>87</v>
      </c>
      <c r="I914" t="s">
        <v>87</v>
      </c>
      <c r="J914" t="s">
        <v>37</v>
      </c>
      <c r="K914">
        <v>168</v>
      </c>
      <c r="L914">
        <v>6</v>
      </c>
      <c r="M914">
        <v>132</v>
      </c>
      <c r="N914">
        <v>8</v>
      </c>
      <c r="O914" t="s">
        <v>2213</v>
      </c>
      <c r="P914" t="s">
        <v>38</v>
      </c>
      <c r="Q914">
        <v>36</v>
      </c>
      <c r="R914">
        <v>0</v>
      </c>
      <c r="S914" t="s">
        <v>1684</v>
      </c>
      <c r="T914" t="s">
        <v>1965</v>
      </c>
      <c r="U914" t="s">
        <v>297</v>
      </c>
      <c r="V914" t="s">
        <v>1728</v>
      </c>
      <c r="W914" t="s">
        <v>939</v>
      </c>
      <c r="X914" t="s">
        <v>1547</v>
      </c>
      <c r="Y914" t="s">
        <v>45</v>
      </c>
      <c r="Z914">
        <v>20</v>
      </c>
      <c r="AA914">
        <v>6</v>
      </c>
      <c r="AB914" t="s">
        <v>46</v>
      </c>
      <c r="AC914" t="s">
        <v>47</v>
      </c>
      <c r="AD914" t="s">
        <v>2294</v>
      </c>
      <c r="AE914" t="s">
        <v>2295</v>
      </c>
    </row>
    <row r="915" spans="1:31" x14ac:dyDescent="0.2">
      <c r="A915" t="s">
        <v>31</v>
      </c>
      <c r="B915">
        <v>2022</v>
      </c>
      <c r="C915">
        <v>38</v>
      </c>
      <c r="D915" s="1">
        <v>44676</v>
      </c>
      <c r="E915" t="s">
        <v>85</v>
      </c>
      <c r="F915" t="s">
        <v>2075</v>
      </c>
      <c r="G915" t="s">
        <v>2080</v>
      </c>
      <c r="H915" t="s">
        <v>53</v>
      </c>
      <c r="I915" t="s">
        <v>53</v>
      </c>
      <c r="J915" t="s">
        <v>37</v>
      </c>
      <c r="K915">
        <v>187</v>
      </c>
      <c r="L915">
        <v>4</v>
      </c>
      <c r="M915">
        <v>176</v>
      </c>
      <c r="N915">
        <v>6</v>
      </c>
      <c r="O915" t="s">
        <v>2080</v>
      </c>
      <c r="P915" t="s">
        <v>38</v>
      </c>
      <c r="Q915">
        <v>11</v>
      </c>
      <c r="R915">
        <v>0</v>
      </c>
      <c r="S915" t="s">
        <v>763</v>
      </c>
      <c r="T915" t="s">
        <v>1772</v>
      </c>
      <c r="U915" t="s">
        <v>297</v>
      </c>
      <c r="V915" t="s">
        <v>982</v>
      </c>
      <c r="W915" t="s">
        <v>791</v>
      </c>
      <c r="X915" t="s">
        <v>1193</v>
      </c>
      <c r="Y915" t="s">
        <v>45</v>
      </c>
      <c r="Z915">
        <v>20</v>
      </c>
      <c r="AA915">
        <v>6</v>
      </c>
      <c r="AB915" t="s">
        <v>46</v>
      </c>
      <c r="AC915" t="s">
        <v>47</v>
      </c>
      <c r="AD915" t="s">
        <v>2296</v>
      </c>
      <c r="AE915" t="s">
        <v>2297</v>
      </c>
    </row>
    <row r="916" spans="1:31" x14ac:dyDescent="0.2">
      <c r="A916" t="s">
        <v>31</v>
      </c>
      <c r="B916">
        <v>2022</v>
      </c>
      <c r="C916">
        <v>39</v>
      </c>
      <c r="D916" s="1">
        <v>44677</v>
      </c>
      <c r="E916" t="s">
        <v>807</v>
      </c>
      <c r="F916" t="s">
        <v>2218</v>
      </c>
      <c r="G916" t="s">
        <v>66</v>
      </c>
      <c r="H916" t="s">
        <v>35</v>
      </c>
      <c r="I916" t="s">
        <v>35</v>
      </c>
      <c r="J916" t="s">
        <v>37</v>
      </c>
      <c r="K916">
        <v>144</v>
      </c>
      <c r="L916">
        <v>8</v>
      </c>
      <c r="M916">
        <v>115</v>
      </c>
      <c r="N916">
        <v>10</v>
      </c>
      <c r="O916" t="s">
        <v>66</v>
      </c>
      <c r="P916" t="s">
        <v>38</v>
      </c>
      <c r="Q916">
        <v>29</v>
      </c>
      <c r="R916">
        <v>0</v>
      </c>
      <c r="S916" t="s">
        <v>2298</v>
      </c>
      <c r="T916" t="s">
        <v>1553</v>
      </c>
      <c r="U916" t="s">
        <v>819</v>
      </c>
      <c r="V916" t="s">
        <v>463</v>
      </c>
      <c r="W916" t="s">
        <v>1210</v>
      </c>
      <c r="X916" t="s">
        <v>2219</v>
      </c>
      <c r="Y916" t="s">
        <v>45</v>
      </c>
      <c r="Z916">
        <v>20</v>
      </c>
      <c r="AA916">
        <v>6</v>
      </c>
      <c r="AB916" t="s">
        <v>46</v>
      </c>
      <c r="AC916" t="s">
        <v>47</v>
      </c>
      <c r="AD916" t="s">
        <v>2299</v>
      </c>
      <c r="AE916" t="s">
        <v>2300</v>
      </c>
    </row>
    <row r="917" spans="1:31" x14ac:dyDescent="0.2">
      <c r="A917" t="s">
        <v>31</v>
      </c>
      <c r="B917">
        <v>2022</v>
      </c>
      <c r="C917">
        <v>40</v>
      </c>
      <c r="D917" s="1">
        <v>44678</v>
      </c>
      <c r="E917" t="s">
        <v>85</v>
      </c>
      <c r="F917" t="s">
        <v>2075</v>
      </c>
      <c r="G917" t="s">
        <v>968</v>
      </c>
      <c r="H917" t="s">
        <v>2214</v>
      </c>
      <c r="I917" t="s">
        <v>2214</v>
      </c>
      <c r="J917" t="s">
        <v>37</v>
      </c>
      <c r="K917">
        <v>195</v>
      </c>
      <c r="L917">
        <v>6</v>
      </c>
      <c r="M917">
        <v>199</v>
      </c>
      <c r="N917">
        <v>5</v>
      </c>
      <c r="O917" t="s">
        <v>2214</v>
      </c>
      <c r="P917" t="s">
        <v>38</v>
      </c>
      <c r="Q917">
        <v>0</v>
      </c>
      <c r="R917">
        <v>5</v>
      </c>
      <c r="S917" t="s">
        <v>2274</v>
      </c>
      <c r="T917" t="s">
        <v>1965</v>
      </c>
      <c r="U917" t="s">
        <v>1283</v>
      </c>
      <c r="V917" t="s">
        <v>1197</v>
      </c>
      <c r="W917" t="s">
        <v>455</v>
      </c>
      <c r="X917" t="s">
        <v>1733</v>
      </c>
      <c r="Y917" t="s">
        <v>45</v>
      </c>
      <c r="Z917">
        <v>20</v>
      </c>
      <c r="AA917">
        <v>6</v>
      </c>
      <c r="AB917" t="s">
        <v>46</v>
      </c>
      <c r="AC917" t="s">
        <v>47</v>
      </c>
      <c r="AD917" t="s">
        <v>2301</v>
      </c>
      <c r="AE917" t="s">
        <v>2302</v>
      </c>
    </row>
    <row r="918" spans="1:31" x14ac:dyDescent="0.2">
      <c r="A918" t="s">
        <v>31</v>
      </c>
      <c r="B918">
        <v>2022</v>
      </c>
      <c r="C918">
        <v>41</v>
      </c>
      <c r="D918" s="1">
        <v>44679</v>
      </c>
      <c r="E918" t="s">
        <v>85</v>
      </c>
      <c r="F918" t="s">
        <v>2075</v>
      </c>
      <c r="G918" t="s">
        <v>36</v>
      </c>
      <c r="H918" t="s">
        <v>1820</v>
      </c>
      <c r="I918" t="s">
        <v>1820</v>
      </c>
      <c r="J918" t="s">
        <v>37</v>
      </c>
      <c r="K918">
        <v>146</v>
      </c>
      <c r="L918">
        <v>9</v>
      </c>
      <c r="M918">
        <v>150</v>
      </c>
      <c r="N918">
        <v>6</v>
      </c>
      <c r="O918" t="s">
        <v>1820</v>
      </c>
      <c r="P918" t="s">
        <v>38</v>
      </c>
      <c r="Q918">
        <v>0</v>
      </c>
      <c r="R918">
        <v>4</v>
      </c>
      <c r="S918" t="s">
        <v>1789</v>
      </c>
      <c r="T918" t="s">
        <v>2215</v>
      </c>
      <c r="U918" t="s">
        <v>146</v>
      </c>
      <c r="V918" t="s">
        <v>791</v>
      </c>
      <c r="W918" t="s">
        <v>989</v>
      </c>
      <c r="X918" t="s">
        <v>2228</v>
      </c>
      <c r="Y918" t="s">
        <v>45</v>
      </c>
      <c r="Z918">
        <v>20</v>
      </c>
      <c r="AA918">
        <v>6</v>
      </c>
      <c r="AB918" t="s">
        <v>46</v>
      </c>
      <c r="AC918" t="s">
        <v>47</v>
      </c>
      <c r="AD918" t="s">
        <v>2303</v>
      </c>
      <c r="AE918" t="s">
        <v>2304</v>
      </c>
    </row>
    <row r="919" spans="1:31" x14ac:dyDescent="0.2">
      <c r="A919" t="s">
        <v>31</v>
      </c>
      <c r="B919">
        <v>2022</v>
      </c>
      <c r="C919">
        <v>42</v>
      </c>
      <c r="D919" s="1">
        <v>44680</v>
      </c>
      <c r="E919" t="s">
        <v>807</v>
      </c>
      <c r="F919" t="s">
        <v>2218</v>
      </c>
      <c r="G919" t="s">
        <v>2213</v>
      </c>
      <c r="H919" t="s">
        <v>2080</v>
      </c>
      <c r="I919" t="s">
        <v>2080</v>
      </c>
      <c r="J919" t="s">
        <v>37</v>
      </c>
      <c r="K919">
        <v>153</v>
      </c>
      <c r="L919">
        <v>8</v>
      </c>
      <c r="M919">
        <v>133</v>
      </c>
      <c r="N919">
        <v>8</v>
      </c>
      <c r="O919" t="s">
        <v>2213</v>
      </c>
      <c r="P919" t="s">
        <v>38</v>
      </c>
      <c r="Q919">
        <v>20</v>
      </c>
      <c r="R919">
        <v>0</v>
      </c>
      <c r="S919" t="s">
        <v>1503</v>
      </c>
      <c r="T919" t="s">
        <v>1553</v>
      </c>
      <c r="U919" t="s">
        <v>2143</v>
      </c>
      <c r="V919" t="s">
        <v>1210</v>
      </c>
      <c r="W919" t="s">
        <v>463</v>
      </c>
      <c r="X919" t="s">
        <v>2233</v>
      </c>
      <c r="Y919" t="s">
        <v>45</v>
      </c>
      <c r="Z919">
        <v>20</v>
      </c>
      <c r="AA919">
        <v>6</v>
      </c>
      <c r="AB919" t="s">
        <v>46</v>
      </c>
      <c r="AC919" t="s">
        <v>47</v>
      </c>
      <c r="AD919" t="s">
        <v>2305</v>
      </c>
      <c r="AE919" t="s">
        <v>2306</v>
      </c>
    </row>
    <row r="920" spans="1:31" x14ac:dyDescent="0.2">
      <c r="A920" t="s">
        <v>31</v>
      </c>
      <c r="B920">
        <v>2022</v>
      </c>
      <c r="C920">
        <v>43</v>
      </c>
      <c r="D920" s="1">
        <v>44681</v>
      </c>
      <c r="E920" t="s">
        <v>85</v>
      </c>
      <c r="F920" t="s">
        <v>499</v>
      </c>
      <c r="G920" t="s">
        <v>35</v>
      </c>
      <c r="H920" t="s">
        <v>2214</v>
      </c>
      <c r="I920" t="s">
        <v>35</v>
      </c>
      <c r="J920" t="s">
        <v>54</v>
      </c>
      <c r="K920">
        <v>170</v>
      </c>
      <c r="L920">
        <v>6</v>
      </c>
      <c r="M920">
        <v>174</v>
      </c>
      <c r="N920">
        <v>4</v>
      </c>
      <c r="O920" t="s">
        <v>2214</v>
      </c>
      <c r="P920" t="s">
        <v>38</v>
      </c>
      <c r="Q920">
        <v>0</v>
      </c>
      <c r="R920">
        <v>6</v>
      </c>
      <c r="S920" t="s">
        <v>2002</v>
      </c>
      <c r="T920" t="s">
        <v>1965</v>
      </c>
      <c r="U920" t="s">
        <v>1728</v>
      </c>
      <c r="V920" t="s">
        <v>939</v>
      </c>
      <c r="W920" t="s">
        <v>989</v>
      </c>
      <c r="X920" t="s">
        <v>2204</v>
      </c>
      <c r="Y920" t="s">
        <v>45</v>
      </c>
      <c r="Z920">
        <v>20</v>
      </c>
      <c r="AA920">
        <v>6</v>
      </c>
      <c r="AB920" t="s">
        <v>46</v>
      </c>
      <c r="AC920" t="s">
        <v>47</v>
      </c>
      <c r="AD920" t="s">
        <v>2307</v>
      </c>
      <c r="AE920" t="s">
        <v>2308</v>
      </c>
    </row>
    <row r="921" spans="1:31" x14ac:dyDescent="0.2">
      <c r="A921" t="s">
        <v>31</v>
      </c>
      <c r="B921">
        <v>2022</v>
      </c>
      <c r="C921">
        <v>44</v>
      </c>
      <c r="D921" s="1">
        <v>44681</v>
      </c>
      <c r="E921" t="s">
        <v>2285</v>
      </c>
      <c r="F921" t="s">
        <v>2209</v>
      </c>
      <c r="G921" t="s">
        <v>66</v>
      </c>
      <c r="H921" t="s">
        <v>87</v>
      </c>
      <c r="I921" t="s">
        <v>87</v>
      </c>
      <c r="J921" t="s">
        <v>37</v>
      </c>
      <c r="K921">
        <v>158</v>
      </c>
      <c r="L921">
        <v>6</v>
      </c>
      <c r="M921">
        <v>161</v>
      </c>
      <c r="N921">
        <v>5</v>
      </c>
      <c r="O921" t="s">
        <v>87</v>
      </c>
      <c r="P921" t="s">
        <v>38</v>
      </c>
      <c r="Q921">
        <v>0</v>
      </c>
      <c r="R921">
        <v>5</v>
      </c>
      <c r="S921" t="s">
        <v>1455</v>
      </c>
      <c r="T921" t="s">
        <v>1279</v>
      </c>
      <c r="U921" t="s">
        <v>819</v>
      </c>
      <c r="V921" t="s">
        <v>1417</v>
      </c>
      <c r="W921" t="s">
        <v>1197</v>
      </c>
      <c r="X921" t="s">
        <v>982</v>
      </c>
      <c r="Y921" t="s">
        <v>45</v>
      </c>
      <c r="Z921">
        <v>20</v>
      </c>
      <c r="AA921">
        <v>6</v>
      </c>
      <c r="AB921" t="s">
        <v>46</v>
      </c>
      <c r="AC921" t="s">
        <v>47</v>
      </c>
      <c r="AD921" t="s">
        <v>2309</v>
      </c>
      <c r="AE921" t="s">
        <v>2310</v>
      </c>
    </row>
    <row r="922" spans="1:31" x14ac:dyDescent="0.2">
      <c r="A922" t="s">
        <v>31</v>
      </c>
      <c r="B922">
        <v>2022</v>
      </c>
      <c r="C922">
        <v>45</v>
      </c>
      <c r="D922" s="1">
        <v>44682</v>
      </c>
      <c r="E922" t="s">
        <v>85</v>
      </c>
      <c r="F922" t="s">
        <v>2075</v>
      </c>
      <c r="G922" t="s">
        <v>2213</v>
      </c>
      <c r="H922" t="s">
        <v>1820</v>
      </c>
      <c r="I922" t="s">
        <v>2213</v>
      </c>
      <c r="J922" t="s">
        <v>54</v>
      </c>
      <c r="K922">
        <v>195</v>
      </c>
      <c r="L922">
        <v>3</v>
      </c>
      <c r="M922">
        <v>189</v>
      </c>
      <c r="N922">
        <v>7</v>
      </c>
      <c r="O922" t="s">
        <v>2213</v>
      </c>
      <c r="P922" t="s">
        <v>38</v>
      </c>
      <c r="Q922">
        <v>6</v>
      </c>
      <c r="R922">
        <v>0</v>
      </c>
      <c r="S922" t="s">
        <v>2311</v>
      </c>
      <c r="T922" t="s">
        <v>1772</v>
      </c>
      <c r="U922" t="s">
        <v>2204</v>
      </c>
      <c r="V922" t="s">
        <v>1283</v>
      </c>
      <c r="W922" t="s">
        <v>791</v>
      </c>
      <c r="X922" t="s">
        <v>2228</v>
      </c>
      <c r="Y922" t="s">
        <v>45</v>
      </c>
      <c r="Z922">
        <v>20</v>
      </c>
      <c r="AA922">
        <v>6</v>
      </c>
      <c r="AB922" t="s">
        <v>46</v>
      </c>
      <c r="AC922" t="s">
        <v>47</v>
      </c>
      <c r="AD922" t="s">
        <v>2312</v>
      </c>
      <c r="AE922" t="s">
        <v>2313</v>
      </c>
    </row>
    <row r="923" spans="1:31" x14ac:dyDescent="0.2">
      <c r="A923" t="s">
        <v>31</v>
      </c>
      <c r="B923">
        <v>2022</v>
      </c>
      <c r="C923">
        <v>46</v>
      </c>
      <c r="D923" s="1">
        <v>44682</v>
      </c>
      <c r="E923" t="s">
        <v>807</v>
      </c>
      <c r="F923" t="s">
        <v>2218</v>
      </c>
      <c r="G923" t="s">
        <v>53</v>
      </c>
      <c r="H923" t="s">
        <v>968</v>
      </c>
      <c r="I923" t="s">
        <v>968</v>
      </c>
      <c r="J923" t="s">
        <v>37</v>
      </c>
      <c r="K923">
        <v>202</v>
      </c>
      <c r="L923">
        <v>2</v>
      </c>
      <c r="M923">
        <v>189</v>
      </c>
      <c r="N923">
        <v>6</v>
      </c>
      <c r="O923" t="s">
        <v>53</v>
      </c>
      <c r="P923" t="s">
        <v>38</v>
      </c>
      <c r="Q923">
        <v>13</v>
      </c>
      <c r="R923">
        <v>0</v>
      </c>
      <c r="S923" t="s">
        <v>2038</v>
      </c>
      <c r="T923" t="s">
        <v>1553</v>
      </c>
      <c r="U923" t="s">
        <v>146</v>
      </c>
      <c r="V923" t="s">
        <v>463</v>
      </c>
      <c r="W923" t="s">
        <v>2143</v>
      </c>
      <c r="X923" t="s">
        <v>2219</v>
      </c>
      <c r="Y923" t="s">
        <v>45</v>
      </c>
      <c r="Z923">
        <v>20</v>
      </c>
      <c r="AA923">
        <v>6</v>
      </c>
      <c r="AB923" t="s">
        <v>46</v>
      </c>
      <c r="AC923" t="s">
        <v>47</v>
      </c>
      <c r="AD923" t="s">
        <v>2314</v>
      </c>
      <c r="AE923" t="s">
        <v>2315</v>
      </c>
    </row>
    <row r="924" spans="1:31" x14ac:dyDescent="0.2">
      <c r="A924" t="s">
        <v>31</v>
      </c>
      <c r="B924">
        <v>2022</v>
      </c>
      <c r="C924">
        <v>47</v>
      </c>
      <c r="D924" s="1">
        <v>44683</v>
      </c>
      <c r="E924" t="s">
        <v>85</v>
      </c>
      <c r="F924" t="s">
        <v>2075</v>
      </c>
      <c r="G924" t="s">
        <v>66</v>
      </c>
      <c r="H924" t="s">
        <v>36</v>
      </c>
      <c r="I924" t="s">
        <v>36</v>
      </c>
      <c r="J924" t="s">
        <v>37</v>
      </c>
      <c r="K924">
        <v>152</v>
      </c>
      <c r="L924">
        <v>5</v>
      </c>
      <c r="M924">
        <v>158</v>
      </c>
      <c r="N924">
        <v>3</v>
      </c>
      <c r="O924" t="s">
        <v>36</v>
      </c>
      <c r="P924" t="s">
        <v>38</v>
      </c>
      <c r="Q924">
        <v>0</v>
      </c>
      <c r="R924">
        <v>7</v>
      </c>
      <c r="S924" t="s">
        <v>2316</v>
      </c>
      <c r="T924" t="s">
        <v>1965</v>
      </c>
      <c r="U924" t="s">
        <v>455</v>
      </c>
      <c r="V924" t="s">
        <v>1547</v>
      </c>
      <c r="W924" t="s">
        <v>1283</v>
      </c>
      <c r="X924" t="s">
        <v>982</v>
      </c>
      <c r="Y924" t="s">
        <v>45</v>
      </c>
      <c r="Z924">
        <v>20</v>
      </c>
      <c r="AA924">
        <v>6</v>
      </c>
      <c r="AB924" t="s">
        <v>46</v>
      </c>
      <c r="AC924" t="s">
        <v>47</v>
      </c>
      <c r="AD924" t="s">
        <v>2317</v>
      </c>
      <c r="AE924" t="s">
        <v>2318</v>
      </c>
    </row>
    <row r="925" spans="1:31" x14ac:dyDescent="0.2">
      <c r="A925" t="s">
        <v>31</v>
      </c>
      <c r="B925">
        <v>2022</v>
      </c>
      <c r="C925">
        <v>48</v>
      </c>
      <c r="D925" s="1">
        <v>44684</v>
      </c>
      <c r="E925" t="s">
        <v>2285</v>
      </c>
      <c r="F925" t="s">
        <v>2209</v>
      </c>
      <c r="G925" t="s">
        <v>2214</v>
      </c>
      <c r="H925" t="s">
        <v>2080</v>
      </c>
      <c r="I925" t="s">
        <v>2214</v>
      </c>
      <c r="J925" t="s">
        <v>54</v>
      </c>
      <c r="K925">
        <v>143</v>
      </c>
      <c r="L925">
        <v>8</v>
      </c>
      <c r="M925">
        <v>145</v>
      </c>
      <c r="N925">
        <v>2</v>
      </c>
      <c r="O925" t="s">
        <v>2080</v>
      </c>
      <c r="P925" t="s">
        <v>38</v>
      </c>
      <c r="Q925">
        <v>0</v>
      </c>
      <c r="R925">
        <v>8</v>
      </c>
      <c r="S925" t="s">
        <v>1859</v>
      </c>
      <c r="T925" t="s">
        <v>2215</v>
      </c>
      <c r="U925" t="s">
        <v>1193</v>
      </c>
      <c r="V925" t="s">
        <v>939</v>
      </c>
      <c r="W925" t="s">
        <v>1728</v>
      </c>
      <c r="X925" t="s">
        <v>1210</v>
      </c>
      <c r="Y925" t="s">
        <v>45</v>
      </c>
      <c r="Z925">
        <v>20</v>
      </c>
      <c r="AA925">
        <v>6</v>
      </c>
      <c r="AB925" t="s">
        <v>46</v>
      </c>
      <c r="AC925" t="s">
        <v>47</v>
      </c>
      <c r="AD925" t="s">
        <v>2319</v>
      </c>
      <c r="AE925" t="s">
        <v>2320</v>
      </c>
    </row>
    <row r="926" spans="1:31" x14ac:dyDescent="0.2">
      <c r="A926" t="s">
        <v>31</v>
      </c>
      <c r="B926">
        <v>2022</v>
      </c>
      <c r="C926">
        <v>49</v>
      </c>
      <c r="D926" s="1">
        <v>44685</v>
      </c>
      <c r="E926" t="s">
        <v>807</v>
      </c>
      <c r="F926" t="s">
        <v>2218</v>
      </c>
      <c r="G926" t="s">
        <v>35</v>
      </c>
      <c r="H926" t="s">
        <v>53</v>
      </c>
      <c r="I926" t="s">
        <v>53</v>
      </c>
      <c r="J926" t="s">
        <v>37</v>
      </c>
      <c r="K926">
        <v>173</v>
      </c>
      <c r="L926">
        <v>8</v>
      </c>
      <c r="M926">
        <v>160</v>
      </c>
      <c r="N926">
        <v>8</v>
      </c>
      <c r="O926" t="s">
        <v>35</v>
      </c>
      <c r="P926" t="s">
        <v>38</v>
      </c>
      <c r="Q926">
        <v>13</v>
      </c>
      <c r="R926">
        <v>0</v>
      </c>
      <c r="S926" t="s">
        <v>1668</v>
      </c>
      <c r="T926" t="s">
        <v>1553</v>
      </c>
      <c r="U926" t="s">
        <v>463</v>
      </c>
      <c r="V926" t="s">
        <v>2143</v>
      </c>
      <c r="W926" t="s">
        <v>146</v>
      </c>
      <c r="X926" t="s">
        <v>2233</v>
      </c>
      <c r="Y926" t="s">
        <v>45</v>
      </c>
      <c r="Z926">
        <v>20</v>
      </c>
      <c r="AA926">
        <v>6</v>
      </c>
      <c r="AB926" t="s">
        <v>46</v>
      </c>
      <c r="AC926" t="s">
        <v>47</v>
      </c>
      <c r="AD926" t="s">
        <v>2321</v>
      </c>
      <c r="AE926" t="s">
        <v>2322</v>
      </c>
    </row>
    <row r="927" spans="1:31" x14ac:dyDescent="0.2">
      <c r="A927" t="s">
        <v>31</v>
      </c>
      <c r="B927">
        <v>2022</v>
      </c>
      <c r="C927">
        <v>50</v>
      </c>
      <c r="D927" s="1">
        <v>44686</v>
      </c>
      <c r="E927" t="s">
        <v>85</v>
      </c>
      <c r="F927" t="s">
        <v>499</v>
      </c>
      <c r="G927" t="s">
        <v>1820</v>
      </c>
      <c r="H927" t="s">
        <v>968</v>
      </c>
      <c r="I927" t="s">
        <v>968</v>
      </c>
      <c r="J927" t="s">
        <v>37</v>
      </c>
      <c r="K927">
        <v>207</v>
      </c>
      <c r="L927">
        <v>3</v>
      </c>
      <c r="M927">
        <v>186</v>
      </c>
      <c r="N927">
        <v>8</v>
      </c>
      <c r="O927" t="s">
        <v>1820</v>
      </c>
      <c r="P927" t="s">
        <v>38</v>
      </c>
      <c r="Q927">
        <v>21</v>
      </c>
      <c r="R927">
        <v>0</v>
      </c>
      <c r="S927" t="s">
        <v>512</v>
      </c>
      <c r="T927" t="s">
        <v>1965</v>
      </c>
      <c r="U927" t="s">
        <v>1197</v>
      </c>
      <c r="V927" t="s">
        <v>621</v>
      </c>
      <c r="W927" t="s">
        <v>989</v>
      </c>
      <c r="X927" t="s">
        <v>1547</v>
      </c>
      <c r="Y927" t="s">
        <v>45</v>
      </c>
      <c r="Z927">
        <v>20</v>
      </c>
      <c r="AA927">
        <v>6</v>
      </c>
      <c r="AB927" t="s">
        <v>46</v>
      </c>
      <c r="AC927" t="s">
        <v>47</v>
      </c>
      <c r="AD927" t="s">
        <v>2323</v>
      </c>
      <c r="AE927" t="s">
        <v>2324</v>
      </c>
    </row>
    <row r="928" spans="1:31" x14ac:dyDescent="0.2">
      <c r="A928" t="s">
        <v>31</v>
      </c>
      <c r="B928">
        <v>2022</v>
      </c>
      <c r="C928">
        <v>51</v>
      </c>
      <c r="D928" s="1">
        <v>44687</v>
      </c>
      <c r="E928" t="s">
        <v>85</v>
      </c>
      <c r="F928" t="s">
        <v>499</v>
      </c>
      <c r="G928" t="s">
        <v>87</v>
      </c>
      <c r="H928" t="s">
        <v>2214</v>
      </c>
      <c r="I928" t="s">
        <v>2214</v>
      </c>
      <c r="J928" t="s">
        <v>37</v>
      </c>
      <c r="K928">
        <v>177</v>
      </c>
      <c r="L928">
        <v>6</v>
      </c>
      <c r="M928">
        <v>172</v>
      </c>
      <c r="N928">
        <v>5</v>
      </c>
      <c r="O928" t="s">
        <v>87</v>
      </c>
      <c r="P928" t="s">
        <v>38</v>
      </c>
      <c r="Q928">
        <v>5</v>
      </c>
      <c r="R928">
        <v>0</v>
      </c>
      <c r="S928" t="s">
        <v>2325</v>
      </c>
      <c r="T928" t="s">
        <v>1279</v>
      </c>
      <c r="U928" t="s">
        <v>455</v>
      </c>
      <c r="V928" t="s">
        <v>1733</v>
      </c>
      <c r="W928" t="s">
        <v>819</v>
      </c>
      <c r="X928" t="s">
        <v>1193</v>
      </c>
      <c r="Y928" t="s">
        <v>45</v>
      </c>
      <c r="Z928">
        <v>20</v>
      </c>
      <c r="AA928">
        <v>6</v>
      </c>
      <c r="AB928" t="s">
        <v>46</v>
      </c>
      <c r="AC928" t="s">
        <v>47</v>
      </c>
      <c r="AD928" t="s">
        <v>2326</v>
      </c>
      <c r="AE928" t="s">
        <v>2327</v>
      </c>
    </row>
    <row r="929" spans="1:31" x14ac:dyDescent="0.2">
      <c r="A929" t="s">
        <v>31</v>
      </c>
      <c r="B929">
        <v>2022</v>
      </c>
      <c r="C929">
        <v>52</v>
      </c>
      <c r="D929" s="1">
        <v>44688</v>
      </c>
      <c r="E929" t="s">
        <v>85</v>
      </c>
      <c r="F929" t="s">
        <v>2075</v>
      </c>
      <c r="G929" t="s">
        <v>2080</v>
      </c>
      <c r="H929" t="s">
        <v>66</v>
      </c>
      <c r="I929" t="s">
        <v>2080</v>
      </c>
      <c r="J929" t="s">
        <v>54</v>
      </c>
      <c r="K929">
        <v>189</v>
      </c>
      <c r="L929">
        <v>5</v>
      </c>
      <c r="M929">
        <v>190</v>
      </c>
      <c r="N929">
        <v>4</v>
      </c>
      <c r="O929" t="s">
        <v>66</v>
      </c>
      <c r="P929" t="s">
        <v>38</v>
      </c>
      <c r="Q929">
        <v>0</v>
      </c>
      <c r="R929">
        <v>6</v>
      </c>
      <c r="S929" t="s">
        <v>2328</v>
      </c>
      <c r="T929" t="s">
        <v>1772</v>
      </c>
      <c r="U929" t="s">
        <v>2204</v>
      </c>
      <c r="V929" t="s">
        <v>1417</v>
      </c>
      <c r="W929" t="s">
        <v>1283</v>
      </c>
      <c r="X929" t="s">
        <v>1210</v>
      </c>
      <c r="Y929" t="s">
        <v>45</v>
      </c>
      <c r="Z929">
        <v>20</v>
      </c>
      <c r="AA929">
        <v>6</v>
      </c>
      <c r="AB929" t="s">
        <v>46</v>
      </c>
      <c r="AC929" t="s">
        <v>47</v>
      </c>
      <c r="AD929" t="s">
        <v>2329</v>
      </c>
      <c r="AE929" t="s">
        <v>2330</v>
      </c>
    </row>
    <row r="930" spans="1:31" x14ac:dyDescent="0.2">
      <c r="A930" t="s">
        <v>31</v>
      </c>
      <c r="B930">
        <v>2022</v>
      </c>
      <c r="C930">
        <v>53</v>
      </c>
      <c r="D930" s="1">
        <v>44688</v>
      </c>
      <c r="E930" t="s">
        <v>807</v>
      </c>
      <c r="F930" t="s">
        <v>2218</v>
      </c>
      <c r="G930" t="s">
        <v>2213</v>
      </c>
      <c r="H930" t="s">
        <v>36</v>
      </c>
      <c r="I930" t="s">
        <v>36</v>
      </c>
      <c r="J930" t="s">
        <v>37</v>
      </c>
      <c r="K930">
        <v>176</v>
      </c>
      <c r="L930">
        <v>7</v>
      </c>
      <c r="M930">
        <v>101</v>
      </c>
      <c r="N930">
        <v>10</v>
      </c>
      <c r="O930" t="s">
        <v>2213</v>
      </c>
      <c r="P930" t="s">
        <v>38</v>
      </c>
      <c r="Q930">
        <v>75</v>
      </c>
      <c r="R930">
        <v>0</v>
      </c>
      <c r="S930" t="s">
        <v>2239</v>
      </c>
      <c r="T930" t="s">
        <v>1553</v>
      </c>
      <c r="U930" t="s">
        <v>146</v>
      </c>
      <c r="V930" t="s">
        <v>2143</v>
      </c>
      <c r="W930" t="s">
        <v>463</v>
      </c>
      <c r="X930" t="s">
        <v>2219</v>
      </c>
      <c r="Y930" t="s">
        <v>45</v>
      </c>
      <c r="Z930">
        <v>20</v>
      </c>
      <c r="AA930">
        <v>6</v>
      </c>
      <c r="AB930" t="s">
        <v>46</v>
      </c>
      <c r="AC930" t="s">
        <v>47</v>
      </c>
      <c r="AD930" t="s">
        <v>2331</v>
      </c>
      <c r="AE930" t="s">
        <v>2332</v>
      </c>
    </row>
    <row r="931" spans="1:31" x14ac:dyDescent="0.2">
      <c r="A931" t="s">
        <v>31</v>
      </c>
      <c r="B931">
        <v>2022</v>
      </c>
      <c r="C931">
        <v>54</v>
      </c>
      <c r="D931" s="1">
        <v>44689</v>
      </c>
      <c r="E931" t="s">
        <v>85</v>
      </c>
      <c r="F931" t="s">
        <v>2075</v>
      </c>
      <c r="G931" t="s">
        <v>35</v>
      </c>
      <c r="H931" t="s">
        <v>968</v>
      </c>
      <c r="I931" t="s">
        <v>35</v>
      </c>
      <c r="J931" t="s">
        <v>54</v>
      </c>
      <c r="K931">
        <v>192</v>
      </c>
      <c r="L931">
        <v>3</v>
      </c>
      <c r="M931">
        <v>125</v>
      </c>
      <c r="N931">
        <v>10</v>
      </c>
      <c r="O931" t="s">
        <v>35</v>
      </c>
      <c r="P931" t="s">
        <v>38</v>
      </c>
      <c r="Q931">
        <v>67</v>
      </c>
      <c r="R931">
        <v>0</v>
      </c>
      <c r="S931" t="s">
        <v>2222</v>
      </c>
      <c r="T931" t="s">
        <v>1965</v>
      </c>
      <c r="U931" t="s">
        <v>819</v>
      </c>
      <c r="V931" t="s">
        <v>1547</v>
      </c>
      <c r="W931" t="s">
        <v>791</v>
      </c>
      <c r="X931" t="s">
        <v>2228</v>
      </c>
      <c r="Y931" t="s">
        <v>45</v>
      </c>
      <c r="Z931">
        <v>20</v>
      </c>
      <c r="AA931">
        <v>6</v>
      </c>
      <c r="AB931" t="s">
        <v>46</v>
      </c>
      <c r="AC931" t="s">
        <v>47</v>
      </c>
      <c r="AD931" t="s">
        <v>2333</v>
      </c>
      <c r="AE931" t="s">
        <v>2334</v>
      </c>
    </row>
    <row r="932" spans="1:31" x14ac:dyDescent="0.2">
      <c r="A932" t="s">
        <v>31</v>
      </c>
      <c r="B932">
        <v>2022</v>
      </c>
      <c r="C932">
        <v>55</v>
      </c>
      <c r="D932" s="1">
        <v>44689</v>
      </c>
      <c r="E932" t="s">
        <v>2285</v>
      </c>
      <c r="F932" t="s">
        <v>2209</v>
      </c>
      <c r="G932" t="s">
        <v>53</v>
      </c>
      <c r="H932" t="s">
        <v>1820</v>
      </c>
      <c r="I932" t="s">
        <v>1820</v>
      </c>
      <c r="J932" t="s">
        <v>37</v>
      </c>
      <c r="K932">
        <v>208</v>
      </c>
      <c r="L932">
        <v>6</v>
      </c>
      <c r="M932">
        <v>117</v>
      </c>
      <c r="N932">
        <v>10</v>
      </c>
      <c r="O932" t="s">
        <v>53</v>
      </c>
      <c r="P932" t="s">
        <v>38</v>
      </c>
      <c r="Q932">
        <v>91</v>
      </c>
      <c r="R932">
        <v>0</v>
      </c>
      <c r="S932" t="s">
        <v>2335</v>
      </c>
      <c r="T932" t="s">
        <v>1279</v>
      </c>
      <c r="U932" t="s">
        <v>989</v>
      </c>
      <c r="V932" t="s">
        <v>1193</v>
      </c>
      <c r="W932" t="s">
        <v>1728</v>
      </c>
      <c r="X932" t="s">
        <v>982</v>
      </c>
      <c r="Y932" t="s">
        <v>45</v>
      </c>
      <c r="Z932">
        <v>20</v>
      </c>
      <c r="AA932">
        <v>6</v>
      </c>
      <c r="AB932" t="s">
        <v>46</v>
      </c>
      <c r="AC932" t="s">
        <v>47</v>
      </c>
      <c r="AD932" t="s">
        <v>2336</v>
      </c>
      <c r="AE932" t="s">
        <v>2337</v>
      </c>
    </row>
    <row r="933" spans="1:31" x14ac:dyDescent="0.2">
      <c r="A933" t="s">
        <v>31</v>
      </c>
      <c r="B933">
        <v>2022</v>
      </c>
      <c r="C933">
        <v>56</v>
      </c>
      <c r="D933" s="1">
        <v>44690</v>
      </c>
      <c r="E933" t="s">
        <v>2285</v>
      </c>
      <c r="F933" t="s">
        <v>2209</v>
      </c>
      <c r="G933" t="s">
        <v>36</v>
      </c>
      <c r="H933" t="s">
        <v>87</v>
      </c>
      <c r="I933" t="s">
        <v>87</v>
      </c>
      <c r="J933" t="s">
        <v>37</v>
      </c>
      <c r="K933">
        <v>165</v>
      </c>
      <c r="L933">
        <v>9</v>
      </c>
      <c r="M933">
        <v>113</v>
      </c>
      <c r="N933">
        <v>10</v>
      </c>
      <c r="O933" t="s">
        <v>36</v>
      </c>
      <c r="P933" t="s">
        <v>38</v>
      </c>
      <c r="Q933">
        <v>52</v>
      </c>
      <c r="R933">
        <v>0</v>
      </c>
      <c r="S933" t="s">
        <v>1571</v>
      </c>
      <c r="T933" t="s">
        <v>1772</v>
      </c>
      <c r="U933" t="s">
        <v>1283</v>
      </c>
      <c r="V933" t="s">
        <v>1733</v>
      </c>
      <c r="W933" t="s">
        <v>819</v>
      </c>
      <c r="X933" t="s">
        <v>2204</v>
      </c>
      <c r="Y933" t="s">
        <v>45</v>
      </c>
      <c r="Z933">
        <v>20</v>
      </c>
      <c r="AA933">
        <v>6</v>
      </c>
      <c r="AB933" t="s">
        <v>46</v>
      </c>
      <c r="AC933" t="s">
        <v>47</v>
      </c>
      <c r="AD933" t="s">
        <v>2338</v>
      </c>
      <c r="AE933" t="s">
        <v>2339</v>
      </c>
    </row>
    <row r="934" spans="1:31" x14ac:dyDescent="0.2">
      <c r="A934" t="s">
        <v>31</v>
      </c>
      <c r="B934">
        <v>2022</v>
      </c>
      <c r="C934">
        <v>57</v>
      </c>
      <c r="D934" s="1">
        <v>44691</v>
      </c>
      <c r="E934" t="s">
        <v>807</v>
      </c>
      <c r="F934" t="s">
        <v>2218</v>
      </c>
      <c r="G934" t="s">
        <v>2214</v>
      </c>
      <c r="H934" t="s">
        <v>2213</v>
      </c>
      <c r="I934" t="s">
        <v>2214</v>
      </c>
      <c r="J934" t="s">
        <v>54</v>
      </c>
      <c r="K934">
        <v>144</v>
      </c>
      <c r="L934">
        <v>4</v>
      </c>
      <c r="M934">
        <v>82</v>
      </c>
      <c r="N934">
        <v>10</v>
      </c>
      <c r="O934" t="s">
        <v>2214</v>
      </c>
      <c r="P934" t="s">
        <v>38</v>
      </c>
      <c r="Q934">
        <v>62</v>
      </c>
      <c r="R934">
        <v>0</v>
      </c>
      <c r="S934" t="s">
        <v>1930</v>
      </c>
      <c r="T934" t="s">
        <v>1553</v>
      </c>
      <c r="U934" t="s">
        <v>463</v>
      </c>
      <c r="V934" t="s">
        <v>2143</v>
      </c>
      <c r="W934" t="s">
        <v>146</v>
      </c>
      <c r="X934" t="s">
        <v>2233</v>
      </c>
      <c r="Y934" t="s">
        <v>45</v>
      </c>
      <c r="Z934">
        <v>20</v>
      </c>
      <c r="AA934">
        <v>6</v>
      </c>
      <c r="AB934" t="s">
        <v>46</v>
      </c>
      <c r="AC934" t="s">
        <v>47</v>
      </c>
      <c r="AD934" t="s">
        <v>2340</v>
      </c>
      <c r="AE934" t="s">
        <v>2341</v>
      </c>
    </row>
    <row r="935" spans="1:31" x14ac:dyDescent="0.2">
      <c r="A935" t="s">
        <v>31</v>
      </c>
      <c r="B935">
        <v>2022</v>
      </c>
      <c r="C935">
        <v>58</v>
      </c>
      <c r="D935" s="1">
        <v>44692</v>
      </c>
      <c r="E935" t="s">
        <v>2285</v>
      </c>
      <c r="F935" t="s">
        <v>2209</v>
      </c>
      <c r="G935" t="s">
        <v>66</v>
      </c>
      <c r="H935" t="s">
        <v>1820</v>
      </c>
      <c r="I935" t="s">
        <v>1820</v>
      </c>
      <c r="J935" t="s">
        <v>37</v>
      </c>
      <c r="K935">
        <v>160</v>
      </c>
      <c r="L935">
        <v>6</v>
      </c>
      <c r="M935">
        <v>161</v>
      </c>
      <c r="N935">
        <v>2</v>
      </c>
      <c r="O935" t="s">
        <v>1820</v>
      </c>
      <c r="P935" t="s">
        <v>38</v>
      </c>
      <c r="Q935">
        <v>0</v>
      </c>
      <c r="R935">
        <v>8</v>
      </c>
      <c r="S935" t="s">
        <v>729</v>
      </c>
      <c r="T935" t="s">
        <v>1279</v>
      </c>
      <c r="U935" t="s">
        <v>621</v>
      </c>
      <c r="V935" t="s">
        <v>989</v>
      </c>
      <c r="W935" t="s">
        <v>939</v>
      </c>
      <c r="X935" t="s">
        <v>982</v>
      </c>
      <c r="Y935" t="s">
        <v>45</v>
      </c>
      <c r="Z935">
        <v>20</v>
      </c>
      <c r="AA935">
        <v>6</v>
      </c>
      <c r="AB935" t="s">
        <v>46</v>
      </c>
      <c r="AC935" t="s">
        <v>47</v>
      </c>
      <c r="AD935" t="s">
        <v>2342</v>
      </c>
      <c r="AE935" t="s">
        <v>2343</v>
      </c>
    </row>
    <row r="936" spans="1:31" x14ac:dyDescent="0.2">
      <c r="A936" t="s">
        <v>31</v>
      </c>
      <c r="B936">
        <v>2022</v>
      </c>
      <c r="C936">
        <v>59</v>
      </c>
      <c r="D936" s="1">
        <v>44693</v>
      </c>
      <c r="E936" t="s">
        <v>85</v>
      </c>
      <c r="F936" t="s">
        <v>2075</v>
      </c>
      <c r="G936" t="s">
        <v>53</v>
      </c>
      <c r="H936" t="s">
        <v>87</v>
      </c>
      <c r="I936" t="s">
        <v>87</v>
      </c>
      <c r="J936" t="s">
        <v>37</v>
      </c>
      <c r="K936">
        <v>97</v>
      </c>
      <c r="L936">
        <v>10</v>
      </c>
      <c r="M936">
        <v>103</v>
      </c>
      <c r="N936">
        <v>5</v>
      </c>
      <c r="O936" t="s">
        <v>87</v>
      </c>
      <c r="P936" t="s">
        <v>38</v>
      </c>
      <c r="Q936">
        <v>0</v>
      </c>
      <c r="R936">
        <v>5</v>
      </c>
      <c r="S936" t="s">
        <v>2344</v>
      </c>
      <c r="T936" t="s">
        <v>1965</v>
      </c>
      <c r="U936" t="s">
        <v>2204</v>
      </c>
      <c r="V936" t="s">
        <v>1283</v>
      </c>
      <c r="W936" t="s">
        <v>989</v>
      </c>
      <c r="X936" t="s">
        <v>2228</v>
      </c>
      <c r="Y936" t="s">
        <v>45</v>
      </c>
      <c r="Z936">
        <v>20</v>
      </c>
      <c r="AA936">
        <v>6</v>
      </c>
      <c r="AB936" t="s">
        <v>46</v>
      </c>
      <c r="AC936" t="s">
        <v>47</v>
      </c>
      <c r="AD936" t="s">
        <v>2345</v>
      </c>
      <c r="AE936" t="s">
        <v>2346</v>
      </c>
    </row>
    <row r="937" spans="1:31" x14ac:dyDescent="0.2">
      <c r="A937" t="s">
        <v>31</v>
      </c>
      <c r="B937">
        <v>2022</v>
      </c>
      <c r="C937">
        <v>60</v>
      </c>
      <c r="D937" s="1">
        <v>44694</v>
      </c>
      <c r="E937" t="s">
        <v>85</v>
      </c>
      <c r="F937" t="s">
        <v>499</v>
      </c>
      <c r="G937" t="s">
        <v>2080</v>
      </c>
      <c r="H937" t="s">
        <v>35</v>
      </c>
      <c r="I937" t="s">
        <v>35</v>
      </c>
      <c r="J937" t="s">
        <v>37</v>
      </c>
      <c r="K937">
        <v>209</v>
      </c>
      <c r="L937">
        <v>9</v>
      </c>
      <c r="M937">
        <v>155</v>
      </c>
      <c r="N937">
        <v>9</v>
      </c>
      <c r="O937" t="s">
        <v>2080</v>
      </c>
      <c r="P937" t="s">
        <v>38</v>
      </c>
      <c r="Q937">
        <v>54</v>
      </c>
      <c r="R937">
        <v>0</v>
      </c>
      <c r="S937" t="s">
        <v>1838</v>
      </c>
      <c r="T937" t="s">
        <v>40</v>
      </c>
      <c r="U937" t="s">
        <v>455</v>
      </c>
      <c r="V937" t="s">
        <v>1547</v>
      </c>
      <c r="W937" t="s">
        <v>1197</v>
      </c>
      <c r="X937" t="s">
        <v>2233</v>
      </c>
      <c r="Y937" t="s">
        <v>45</v>
      </c>
      <c r="Z937">
        <v>20</v>
      </c>
      <c r="AA937">
        <v>6</v>
      </c>
      <c r="AB937" t="s">
        <v>46</v>
      </c>
      <c r="AC937" t="s">
        <v>47</v>
      </c>
      <c r="AD937" t="s">
        <v>2347</v>
      </c>
      <c r="AE937" t="s">
        <v>2348</v>
      </c>
    </row>
    <row r="938" spans="1:31" x14ac:dyDescent="0.2">
      <c r="A938" t="s">
        <v>31</v>
      </c>
      <c r="B938">
        <v>2022</v>
      </c>
      <c r="C938">
        <v>61</v>
      </c>
      <c r="D938" s="1">
        <v>44695</v>
      </c>
      <c r="E938" t="s">
        <v>807</v>
      </c>
      <c r="F938" t="s">
        <v>2218</v>
      </c>
      <c r="G938" t="s">
        <v>36</v>
      </c>
      <c r="H938" t="s">
        <v>968</v>
      </c>
      <c r="I938" t="s">
        <v>36</v>
      </c>
      <c r="J938" t="s">
        <v>54</v>
      </c>
      <c r="K938">
        <v>177</v>
      </c>
      <c r="L938">
        <v>6</v>
      </c>
      <c r="M938">
        <v>123</v>
      </c>
      <c r="N938">
        <v>8</v>
      </c>
      <c r="O938" t="s">
        <v>36</v>
      </c>
      <c r="P938" t="s">
        <v>38</v>
      </c>
      <c r="Q938">
        <v>54</v>
      </c>
      <c r="R938">
        <v>0</v>
      </c>
      <c r="S938" t="s">
        <v>1308</v>
      </c>
      <c r="T938" t="s">
        <v>1553</v>
      </c>
      <c r="U938" t="s">
        <v>146</v>
      </c>
      <c r="V938" t="s">
        <v>463</v>
      </c>
      <c r="W938" t="s">
        <v>2143</v>
      </c>
      <c r="X938" t="s">
        <v>2219</v>
      </c>
      <c r="Y938" t="s">
        <v>45</v>
      </c>
      <c r="Z938">
        <v>20</v>
      </c>
      <c r="AA938">
        <v>6</v>
      </c>
      <c r="AB938" t="s">
        <v>46</v>
      </c>
      <c r="AC938" t="s">
        <v>47</v>
      </c>
      <c r="AD938" t="s">
        <v>2349</v>
      </c>
      <c r="AE938" t="s">
        <v>2350</v>
      </c>
    </row>
    <row r="939" spans="1:31" x14ac:dyDescent="0.2">
      <c r="A939" t="s">
        <v>31</v>
      </c>
      <c r="B939">
        <v>2022</v>
      </c>
      <c r="C939">
        <v>62</v>
      </c>
      <c r="D939" s="1">
        <v>44696</v>
      </c>
      <c r="E939" t="s">
        <v>85</v>
      </c>
      <c r="F939" t="s">
        <v>2075</v>
      </c>
      <c r="G939" t="s">
        <v>53</v>
      </c>
      <c r="H939" t="s">
        <v>2214</v>
      </c>
      <c r="I939" t="s">
        <v>53</v>
      </c>
      <c r="J939" t="s">
        <v>54</v>
      </c>
      <c r="K939">
        <v>133</v>
      </c>
      <c r="L939">
        <v>5</v>
      </c>
      <c r="M939">
        <v>137</v>
      </c>
      <c r="N939">
        <v>3</v>
      </c>
      <c r="O939" t="s">
        <v>2214</v>
      </c>
      <c r="P939" t="s">
        <v>38</v>
      </c>
      <c r="Q939">
        <v>0</v>
      </c>
      <c r="R939">
        <v>7</v>
      </c>
      <c r="S939" t="s">
        <v>756</v>
      </c>
      <c r="T939" t="s">
        <v>40</v>
      </c>
      <c r="U939" t="s">
        <v>1193</v>
      </c>
      <c r="V939" t="s">
        <v>939</v>
      </c>
      <c r="W939" t="s">
        <v>1283</v>
      </c>
      <c r="X939" t="s">
        <v>621</v>
      </c>
      <c r="Y939" t="s">
        <v>45</v>
      </c>
      <c r="Z939">
        <v>20</v>
      </c>
      <c r="AA939">
        <v>6</v>
      </c>
      <c r="AB939" t="s">
        <v>46</v>
      </c>
      <c r="AC939" t="s">
        <v>47</v>
      </c>
      <c r="AD939" t="s">
        <v>2351</v>
      </c>
      <c r="AE939" t="s">
        <v>2340</v>
      </c>
    </row>
    <row r="940" spans="1:31" x14ac:dyDescent="0.2">
      <c r="A940" t="s">
        <v>31</v>
      </c>
      <c r="B940">
        <v>2022</v>
      </c>
      <c r="C940">
        <v>63</v>
      </c>
      <c r="D940" s="1">
        <v>44696</v>
      </c>
      <c r="E940" t="s">
        <v>85</v>
      </c>
      <c r="F940" t="s">
        <v>499</v>
      </c>
      <c r="G940" t="s">
        <v>66</v>
      </c>
      <c r="H940" t="s">
        <v>2213</v>
      </c>
      <c r="I940" t="s">
        <v>66</v>
      </c>
      <c r="J940" t="s">
        <v>54</v>
      </c>
      <c r="K940">
        <v>178</v>
      </c>
      <c r="L940">
        <v>6</v>
      </c>
      <c r="M940">
        <v>154</v>
      </c>
      <c r="N940">
        <v>8</v>
      </c>
      <c r="O940" t="s">
        <v>66</v>
      </c>
      <c r="P940" t="s">
        <v>38</v>
      </c>
      <c r="Q940">
        <v>24</v>
      </c>
      <c r="R940">
        <v>0</v>
      </c>
      <c r="S940" t="s">
        <v>1335</v>
      </c>
      <c r="T940" t="s">
        <v>1772</v>
      </c>
      <c r="U940" t="s">
        <v>791</v>
      </c>
      <c r="V940" t="s">
        <v>982</v>
      </c>
      <c r="W940" t="s">
        <v>819</v>
      </c>
      <c r="X940" t="s">
        <v>1417</v>
      </c>
      <c r="Y940" t="s">
        <v>45</v>
      </c>
      <c r="Z940">
        <v>20</v>
      </c>
      <c r="AA940">
        <v>6</v>
      </c>
      <c r="AB940" t="s">
        <v>46</v>
      </c>
      <c r="AC940" t="s">
        <v>47</v>
      </c>
      <c r="AD940" t="s">
        <v>2352</v>
      </c>
      <c r="AE940" t="s">
        <v>2353</v>
      </c>
    </row>
    <row r="941" spans="1:31" x14ac:dyDescent="0.2">
      <c r="A941" t="s">
        <v>31</v>
      </c>
      <c r="B941">
        <v>2022</v>
      </c>
      <c r="C941">
        <v>64</v>
      </c>
      <c r="D941" s="1">
        <v>44697</v>
      </c>
      <c r="E941" t="s">
        <v>2285</v>
      </c>
      <c r="F941" t="s">
        <v>2209</v>
      </c>
      <c r="G941" t="s">
        <v>1820</v>
      </c>
      <c r="H941" t="s">
        <v>2080</v>
      </c>
      <c r="I941" t="s">
        <v>2080</v>
      </c>
      <c r="J941" t="s">
        <v>37</v>
      </c>
      <c r="K941">
        <v>159</v>
      </c>
      <c r="L941">
        <v>7</v>
      </c>
      <c r="M941">
        <v>142</v>
      </c>
      <c r="N941">
        <v>9</v>
      </c>
      <c r="O941" t="s">
        <v>1820</v>
      </c>
      <c r="P941" t="s">
        <v>38</v>
      </c>
      <c r="Q941">
        <v>17</v>
      </c>
      <c r="R941">
        <v>0</v>
      </c>
      <c r="S941" t="s">
        <v>2354</v>
      </c>
      <c r="T941" t="s">
        <v>1772</v>
      </c>
      <c r="U941" t="s">
        <v>1733</v>
      </c>
      <c r="V941" t="s">
        <v>989</v>
      </c>
      <c r="W941" t="s">
        <v>2143</v>
      </c>
      <c r="X941" t="s">
        <v>1197</v>
      </c>
      <c r="Y941" t="s">
        <v>45</v>
      </c>
      <c r="Z941">
        <v>20</v>
      </c>
      <c r="AA941">
        <v>6</v>
      </c>
      <c r="AB941" t="s">
        <v>46</v>
      </c>
      <c r="AC941" t="s">
        <v>47</v>
      </c>
      <c r="AD941" t="s">
        <v>2355</v>
      </c>
      <c r="AE941" t="s">
        <v>2347</v>
      </c>
    </row>
    <row r="942" spans="1:31" x14ac:dyDescent="0.2">
      <c r="A942" t="s">
        <v>31</v>
      </c>
      <c r="B942">
        <v>2022</v>
      </c>
      <c r="C942">
        <v>65</v>
      </c>
      <c r="D942" s="1">
        <v>44698</v>
      </c>
      <c r="E942" t="s">
        <v>85</v>
      </c>
      <c r="F942" t="s">
        <v>2075</v>
      </c>
      <c r="G942" t="s">
        <v>968</v>
      </c>
      <c r="H942" t="s">
        <v>87</v>
      </c>
      <c r="I942" t="s">
        <v>87</v>
      </c>
      <c r="J942" t="s">
        <v>37</v>
      </c>
      <c r="K942">
        <v>193</v>
      </c>
      <c r="L942">
        <v>6</v>
      </c>
      <c r="M942">
        <v>190</v>
      </c>
      <c r="N942">
        <v>7</v>
      </c>
      <c r="O942" t="s">
        <v>968</v>
      </c>
      <c r="P942" t="s">
        <v>38</v>
      </c>
      <c r="Q942">
        <v>3</v>
      </c>
      <c r="R942">
        <v>0</v>
      </c>
      <c r="S942" t="s">
        <v>1637</v>
      </c>
      <c r="T942" t="s">
        <v>40</v>
      </c>
      <c r="U942" t="s">
        <v>1283</v>
      </c>
      <c r="V942" t="s">
        <v>1547</v>
      </c>
      <c r="W942" t="s">
        <v>1197</v>
      </c>
      <c r="X942" t="s">
        <v>1728</v>
      </c>
      <c r="Y942" t="s">
        <v>45</v>
      </c>
      <c r="Z942">
        <v>20</v>
      </c>
      <c r="AA942">
        <v>6</v>
      </c>
      <c r="AB942" t="s">
        <v>46</v>
      </c>
      <c r="AC942" t="s">
        <v>47</v>
      </c>
      <c r="AD942" t="s">
        <v>2356</v>
      </c>
      <c r="AE942" t="s">
        <v>2357</v>
      </c>
    </row>
    <row r="943" spans="1:31" x14ac:dyDescent="0.2">
      <c r="A943" t="s">
        <v>31</v>
      </c>
      <c r="B943">
        <v>2022</v>
      </c>
      <c r="C943">
        <v>66</v>
      </c>
      <c r="D943" s="1">
        <v>44699</v>
      </c>
      <c r="E943" t="s">
        <v>2285</v>
      </c>
      <c r="F943" t="s">
        <v>2209</v>
      </c>
      <c r="G943" t="s">
        <v>2213</v>
      </c>
      <c r="H943" t="s">
        <v>36</v>
      </c>
      <c r="I943" t="s">
        <v>2213</v>
      </c>
      <c r="J943" t="s">
        <v>54</v>
      </c>
      <c r="K943">
        <v>210</v>
      </c>
      <c r="L943">
        <v>0</v>
      </c>
      <c r="M943">
        <v>208</v>
      </c>
      <c r="N943">
        <v>8</v>
      </c>
      <c r="O943" t="s">
        <v>2213</v>
      </c>
      <c r="P943" t="s">
        <v>38</v>
      </c>
      <c r="Q943">
        <v>2</v>
      </c>
      <c r="R943">
        <v>0</v>
      </c>
      <c r="S943" t="s">
        <v>1434</v>
      </c>
      <c r="T943" t="s">
        <v>1279</v>
      </c>
      <c r="U943" t="s">
        <v>1193</v>
      </c>
      <c r="V943" t="s">
        <v>1417</v>
      </c>
      <c r="W943" t="s">
        <v>819</v>
      </c>
      <c r="X943" t="s">
        <v>621</v>
      </c>
      <c r="Y943" t="s">
        <v>45</v>
      </c>
      <c r="Z943">
        <v>20</v>
      </c>
      <c r="AA943">
        <v>6</v>
      </c>
      <c r="AB943" t="s">
        <v>46</v>
      </c>
      <c r="AC943" t="s">
        <v>47</v>
      </c>
      <c r="AD943" t="s">
        <v>2358</v>
      </c>
      <c r="AE943" t="s">
        <v>2359</v>
      </c>
    </row>
    <row r="944" spans="1:31" x14ac:dyDescent="0.2">
      <c r="A944" t="s">
        <v>31</v>
      </c>
      <c r="B944">
        <v>2022</v>
      </c>
      <c r="C944">
        <v>67</v>
      </c>
      <c r="D944" s="1">
        <v>44700</v>
      </c>
      <c r="E944" t="s">
        <v>85</v>
      </c>
      <c r="F944" t="s">
        <v>2075</v>
      </c>
      <c r="G944" t="s">
        <v>2214</v>
      </c>
      <c r="H944" t="s">
        <v>35</v>
      </c>
      <c r="I944" t="s">
        <v>2214</v>
      </c>
      <c r="J944" t="s">
        <v>54</v>
      </c>
      <c r="K944">
        <v>168</v>
      </c>
      <c r="L944">
        <v>5</v>
      </c>
      <c r="M944">
        <v>170</v>
      </c>
      <c r="N944">
        <v>2</v>
      </c>
      <c r="O944" t="s">
        <v>35</v>
      </c>
      <c r="P944" t="s">
        <v>38</v>
      </c>
      <c r="Q944">
        <v>0</v>
      </c>
      <c r="R944">
        <v>8</v>
      </c>
      <c r="S944" t="s">
        <v>678</v>
      </c>
      <c r="T944" t="s">
        <v>40</v>
      </c>
      <c r="U944" t="s">
        <v>463</v>
      </c>
      <c r="V944" t="s">
        <v>1733</v>
      </c>
      <c r="W944" t="s">
        <v>1197</v>
      </c>
      <c r="X944" t="s">
        <v>982</v>
      </c>
      <c r="Y944" t="s">
        <v>45</v>
      </c>
      <c r="Z944">
        <v>20</v>
      </c>
      <c r="AA944">
        <v>6</v>
      </c>
      <c r="AB944" t="s">
        <v>46</v>
      </c>
      <c r="AC944" t="s">
        <v>47</v>
      </c>
      <c r="AD944" t="s">
        <v>2360</v>
      </c>
      <c r="AE944" t="s">
        <v>2361</v>
      </c>
    </row>
    <row r="945" spans="1:31" x14ac:dyDescent="0.2">
      <c r="A945" t="s">
        <v>31</v>
      </c>
      <c r="B945">
        <v>2022</v>
      </c>
      <c r="C945">
        <v>68</v>
      </c>
      <c r="D945" s="1">
        <v>44701</v>
      </c>
      <c r="E945" t="s">
        <v>85</v>
      </c>
      <c r="F945" t="s">
        <v>499</v>
      </c>
      <c r="G945" t="s">
        <v>53</v>
      </c>
      <c r="H945" t="s">
        <v>66</v>
      </c>
      <c r="I945" t="s">
        <v>53</v>
      </c>
      <c r="J945" t="s">
        <v>54</v>
      </c>
      <c r="K945">
        <v>150</v>
      </c>
      <c r="L945">
        <v>6</v>
      </c>
      <c r="M945">
        <v>151</v>
      </c>
      <c r="N945">
        <v>5</v>
      </c>
      <c r="O945" t="s">
        <v>66</v>
      </c>
      <c r="P945" t="s">
        <v>38</v>
      </c>
      <c r="Q945">
        <v>0</v>
      </c>
      <c r="R945">
        <v>5</v>
      </c>
      <c r="S945" t="s">
        <v>571</v>
      </c>
      <c r="T945" t="s">
        <v>1279</v>
      </c>
      <c r="U945" t="s">
        <v>1283</v>
      </c>
      <c r="V945" t="s">
        <v>621</v>
      </c>
      <c r="W945" t="s">
        <v>1417</v>
      </c>
      <c r="X945" t="s">
        <v>791</v>
      </c>
      <c r="Y945" t="s">
        <v>45</v>
      </c>
      <c r="Z945">
        <v>20</v>
      </c>
      <c r="AA945">
        <v>6</v>
      </c>
      <c r="AB945" t="s">
        <v>46</v>
      </c>
      <c r="AC945" t="s">
        <v>47</v>
      </c>
      <c r="AD945" t="s">
        <v>2362</v>
      </c>
      <c r="AE945" t="s">
        <v>2363</v>
      </c>
    </row>
    <row r="946" spans="1:31" x14ac:dyDescent="0.2">
      <c r="A946" t="s">
        <v>31</v>
      </c>
      <c r="B946">
        <v>2022</v>
      </c>
      <c r="C946">
        <v>69</v>
      </c>
      <c r="D946" s="1">
        <v>44702</v>
      </c>
      <c r="E946" t="s">
        <v>85</v>
      </c>
      <c r="F946" t="s">
        <v>2075</v>
      </c>
      <c r="G946" t="s">
        <v>1820</v>
      </c>
      <c r="H946" t="s">
        <v>87</v>
      </c>
      <c r="I946" t="s">
        <v>87</v>
      </c>
      <c r="J946" t="s">
        <v>37</v>
      </c>
      <c r="K946">
        <v>159</v>
      </c>
      <c r="L946">
        <v>7</v>
      </c>
      <c r="M946">
        <v>160</v>
      </c>
      <c r="N946">
        <v>5</v>
      </c>
      <c r="O946" t="s">
        <v>87</v>
      </c>
      <c r="P946" t="s">
        <v>38</v>
      </c>
      <c r="Q946">
        <v>0</v>
      </c>
      <c r="R946">
        <v>5</v>
      </c>
      <c r="S946" t="s">
        <v>1571</v>
      </c>
      <c r="T946" t="s">
        <v>40</v>
      </c>
      <c r="U946" t="s">
        <v>989</v>
      </c>
      <c r="V946" t="s">
        <v>982</v>
      </c>
      <c r="W946" t="s">
        <v>1728</v>
      </c>
      <c r="X946" t="s">
        <v>1733</v>
      </c>
      <c r="Y946" t="s">
        <v>45</v>
      </c>
      <c r="Z946">
        <v>20</v>
      </c>
      <c r="AA946">
        <v>6</v>
      </c>
      <c r="AB946" t="s">
        <v>46</v>
      </c>
      <c r="AC946" t="s">
        <v>47</v>
      </c>
      <c r="AD946" t="s">
        <v>2364</v>
      </c>
      <c r="AE946" t="s">
        <v>2365</v>
      </c>
    </row>
    <row r="947" spans="1:31" x14ac:dyDescent="0.2">
      <c r="A947" t="s">
        <v>31</v>
      </c>
      <c r="B947">
        <v>2022</v>
      </c>
      <c r="C947">
        <v>70</v>
      </c>
      <c r="D947" s="1">
        <v>44703</v>
      </c>
      <c r="E947" t="s">
        <v>85</v>
      </c>
      <c r="F947" t="s">
        <v>2075</v>
      </c>
      <c r="G947" t="s">
        <v>968</v>
      </c>
      <c r="H947" t="s">
        <v>2080</v>
      </c>
      <c r="I947" t="s">
        <v>968</v>
      </c>
      <c r="J947" t="s">
        <v>54</v>
      </c>
      <c r="K947">
        <v>157</v>
      </c>
      <c r="L947">
        <v>8</v>
      </c>
      <c r="M947">
        <v>160</v>
      </c>
      <c r="N947">
        <v>5</v>
      </c>
      <c r="O947" t="s">
        <v>2080</v>
      </c>
      <c r="P947" t="s">
        <v>38</v>
      </c>
      <c r="Q947">
        <v>0</v>
      </c>
      <c r="R947">
        <v>5</v>
      </c>
      <c r="S947" t="s">
        <v>2127</v>
      </c>
      <c r="T947" t="s">
        <v>40</v>
      </c>
      <c r="U947" t="s">
        <v>146</v>
      </c>
      <c r="V947" t="s">
        <v>621</v>
      </c>
      <c r="W947" t="s">
        <v>1283</v>
      </c>
      <c r="X947" t="s">
        <v>1197</v>
      </c>
      <c r="Y947" t="s">
        <v>45</v>
      </c>
      <c r="Z947">
        <v>20</v>
      </c>
      <c r="AA947">
        <v>6</v>
      </c>
      <c r="AB947" t="s">
        <v>46</v>
      </c>
      <c r="AC947" t="s">
        <v>47</v>
      </c>
      <c r="AD947" t="s">
        <v>2366</v>
      </c>
      <c r="AE947" t="s">
        <v>2367</v>
      </c>
    </row>
    <row r="948" spans="1:31" x14ac:dyDescent="0.2">
      <c r="A948" t="s">
        <v>31</v>
      </c>
      <c r="B948">
        <v>2022</v>
      </c>
      <c r="C948" t="s">
        <v>256</v>
      </c>
      <c r="D948" s="1">
        <v>44705</v>
      </c>
      <c r="E948" t="s">
        <v>75</v>
      </c>
      <c r="F948" t="s">
        <v>2368</v>
      </c>
      <c r="G948" t="s">
        <v>66</v>
      </c>
      <c r="H948" t="s">
        <v>2214</v>
      </c>
      <c r="I948" t="s">
        <v>2214</v>
      </c>
      <c r="J948" t="s">
        <v>37</v>
      </c>
      <c r="K948">
        <v>188</v>
      </c>
      <c r="L948">
        <v>6</v>
      </c>
      <c r="M948">
        <v>191</v>
      </c>
      <c r="N948">
        <v>3</v>
      </c>
      <c r="O948" t="s">
        <v>2214</v>
      </c>
      <c r="P948" t="s">
        <v>38</v>
      </c>
      <c r="Q948">
        <v>0</v>
      </c>
      <c r="R948">
        <v>7</v>
      </c>
      <c r="S948" t="s">
        <v>1030</v>
      </c>
      <c r="T948" t="s">
        <v>1279</v>
      </c>
      <c r="U948" t="s">
        <v>819</v>
      </c>
      <c r="V948" t="s">
        <v>939</v>
      </c>
      <c r="W948" t="s">
        <v>2143</v>
      </c>
      <c r="X948" t="s">
        <v>455</v>
      </c>
      <c r="Y948" t="s">
        <v>45</v>
      </c>
      <c r="Z948">
        <v>20</v>
      </c>
      <c r="AA948">
        <v>6</v>
      </c>
      <c r="AB948" t="s">
        <v>46</v>
      </c>
      <c r="AC948" t="s">
        <v>47</v>
      </c>
      <c r="AD948" t="s">
        <v>2369</v>
      </c>
      <c r="AE948" t="s">
        <v>2340</v>
      </c>
    </row>
    <row r="949" spans="1:31" x14ac:dyDescent="0.2">
      <c r="A949" t="s">
        <v>31</v>
      </c>
      <c r="B949">
        <v>2022</v>
      </c>
      <c r="C949" t="s">
        <v>256</v>
      </c>
      <c r="D949" s="1">
        <v>44706</v>
      </c>
      <c r="E949" t="s">
        <v>75</v>
      </c>
      <c r="F949" t="s">
        <v>2368</v>
      </c>
      <c r="G949" t="s">
        <v>35</v>
      </c>
      <c r="H949" t="s">
        <v>2213</v>
      </c>
      <c r="I949" t="s">
        <v>2213</v>
      </c>
      <c r="J949" t="s">
        <v>37</v>
      </c>
      <c r="K949">
        <v>207</v>
      </c>
      <c r="L949">
        <v>4</v>
      </c>
      <c r="M949">
        <v>193</v>
      </c>
      <c r="N949">
        <v>6</v>
      </c>
      <c r="O949" t="s">
        <v>35</v>
      </c>
      <c r="P949" t="s">
        <v>38</v>
      </c>
      <c r="Q949">
        <v>14</v>
      </c>
      <c r="R949">
        <v>0</v>
      </c>
      <c r="S949" t="s">
        <v>2370</v>
      </c>
      <c r="T949" t="s">
        <v>1279</v>
      </c>
      <c r="U949" t="s">
        <v>455</v>
      </c>
      <c r="V949" t="s">
        <v>2143</v>
      </c>
      <c r="W949" t="s">
        <v>819</v>
      </c>
      <c r="X949" t="s">
        <v>939</v>
      </c>
      <c r="Y949" t="s">
        <v>45</v>
      </c>
      <c r="Z949">
        <v>20</v>
      </c>
      <c r="AA949">
        <v>6</v>
      </c>
      <c r="AB949" t="s">
        <v>46</v>
      </c>
      <c r="AC949" t="s">
        <v>47</v>
      </c>
      <c r="AD949" t="s">
        <v>2371</v>
      </c>
      <c r="AE949" t="s">
        <v>2372</v>
      </c>
    </row>
    <row r="950" spans="1:31" x14ac:dyDescent="0.2">
      <c r="A950" t="s">
        <v>31</v>
      </c>
      <c r="B950">
        <v>2022</v>
      </c>
      <c r="C950" t="s">
        <v>256</v>
      </c>
      <c r="D950" s="1">
        <v>44708</v>
      </c>
      <c r="E950" t="s">
        <v>458</v>
      </c>
      <c r="F950" t="s">
        <v>2115</v>
      </c>
      <c r="G950" t="s">
        <v>35</v>
      </c>
      <c r="H950" t="s">
        <v>66</v>
      </c>
      <c r="I950" t="s">
        <v>66</v>
      </c>
      <c r="J950" t="s">
        <v>37</v>
      </c>
      <c r="K950">
        <v>157</v>
      </c>
      <c r="L950">
        <v>8</v>
      </c>
      <c r="M950">
        <v>161</v>
      </c>
      <c r="N950">
        <v>3</v>
      </c>
      <c r="O950" t="s">
        <v>66</v>
      </c>
      <c r="P950" t="s">
        <v>38</v>
      </c>
      <c r="Q950">
        <v>0</v>
      </c>
      <c r="R950">
        <v>7</v>
      </c>
      <c r="S950" t="s">
        <v>1599</v>
      </c>
      <c r="T950" t="s">
        <v>40</v>
      </c>
      <c r="U950" t="s">
        <v>1283</v>
      </c>
      <c r="V950" t="s">
        <v>989</v>
      </c>
      <c r="W950" t="s">
        <v>146</v>
      </c>
      <c r="X950" t="s">
        <v>463</v>
      </c>
      <c r="Y950" t="s">
        <v>45</v>
      </c>
      <c r="Z950">
        <v>20</v>
      </c>
      <c r="AA950">
        <v>6</v>
      </c>
      <c r="AB950" t="s">
        <v>46</v>
      </c>
      <c r="AC950" t="s">
        <v>47</v>
      </c>
      <c r="AD950" t="s">
        <v>2373</v>
      </c>
      <c r="AE950" t="s">
        <v>2369</v>
      </c>
    </row>
    <row r="951" spans="1:31" x14ac:dyDescent="0.2">
      <c r="A951" t="s">
        <v>31</v>
      </c>
      <c r="B951">
        <v>2022</v>
      </c>
      <c r="C951" t="s">
        <v>256</v>
      </c>
      <c r="D951" s="1">
        <v>44710</v>
      </c>
      <c r="E951" t="s">
        <v>458</v>
      </c>
      <c r="F951" t="s">
        <v>2115</v>
      </c>
      <c r="G951" t="s">
        <v>66</v>
      </c>
      <c r="H951" t="s">
        <v>2214</v>
      </c>
      <c r="I951" t="s">
        <v>66</v>
      </c>
      <c r="J951" t="s">
        <v>54</v>
      </c>
      <c r="K951">
        <v>130</v>
      </c>
      <c r="L951">
        <v>9</v>
      </c>
      <c r="M951">
        <v>133</v>
      </c>
      <c r="N951">
        <v>3</v>
      </c>
      <c r="O951" t="s">
        <v>2214</v>
      </c>
      <c r="P951" t="s">
        <v>38</v>
      </c>
      <c r="Q951">
        <v>0</v>
      </c>
      <c r="R951">
        <v>7</v>
      </c>
      <c r="S951" t="s">
        <v>1369</v>
      </c>
      <c r="T951" t="s">
        <v>40</v>
      </c>
      <c r="U951" t="s">
        <v>1283</v>
      </c>
      <c r="V951" t="s">
        <v>989</v>
      </c>
      <c r="W951" t="s">
        <v>463</v>
      </c>
      <c r="X951" t="s">
        <v>146</v>
      </c>
      <c r="Y951" t="s">
        <v>45</v>
      </c>
      <c r="Z951">
        <v>20</v>
      </c>
      <c r="AA951">
        <v>6</v>
      </c>
      <c r="AB951" t="s">
        <v>46</v>
      </c>
      <c r="AC951" t="s">
        <v>47</v>
      </c>
      <c r="AD951" t="s">
        <v>2374</v>
      </c>
      <c r="AE951" t="s">
        <v>2360</v>
      </c>
    </row>
    <row r="952" spans="1:31" x14ac:dyDescent="0.2">
      <c r="A952" t="s">
        <v>31</v>
      </c>
      <c r="B952">
        <v>2023</v>
      </c>
      <c r="C952">
        <v>1</v>
      </c>
      <c r="D952" s="1">
        <v>45016</v>
      </c>
      <c r="E952" t="s">
        <v>458</v>
      </c>
      <c r="F952" t="s">
        <v>2115</v>
      </c>
      <c r="G952" t="s">
        <v>53</v>
      </c>
      <c r="H952" t="s">
        <v>2214</v>
      </c>
      <c r="I952" t="s">
        <v>2214</v>
      </c>
      <c r="J952" t="s">
        <v>37</v>
      </c>
      <c r="K952">
        <v>178</v>
      </c>
      <c r="L952">
        <v>7</v>
      </c>
      <c r="M952">
        <v>182</v>
      </c>
      <c r="N952">
        <v>5</v>
      </c>
      <c r="O952" t="s">
        <v>2214</v>
      </c>
      <c r="P952" t="s">
        <v>38</v>
      </c>
      <c r="Q952">
        <v>0</v>
      </c>
      <c r="R952">
        <v>5</v>
      </c>
      <c r="S952" t="s">
        <v>1562</v>
      </c>
      <c r="T952" t="s">
        <v>40</v>
      </c>
      <c r="U952" t="s">
        <v>989</v>
      </c>
      <c r="V952" t="s">
        <v>1728</v>
      </c>
      <c r="W952" t="s">
        <v>939</v>
      </c>
      <c r="X952" t="s">
        <v>2375</v>
      </c>
      <c r="Y952" t="s">
        <v>45</v>
      </c>
      <c r="Z952">
        <v>20</v>
      </c>
      <c r="AA952">
        <v>6</v>
      </c>
      <c r="AB952" t="s">
        <v>46</v>
      </c>
      <c r="AC952" t="s">
        <v>47</v>
      </c>
      <c r="AD952" t="s">
        <v>2376</v>
      </c>
      <c r="AE952" t="s">
        <v>2377</v>
      </c>
    </row>
    <row r="953" spans="1:31" x14ac:dyDescent="0.2">
      <c r="A953" t="s">
        <v>31</v>
      </c>
      <c r="B953">
        <v>2023</v>
      </c>
      <c r="C953">
        <v>2</v>
      </c>
      <c r="D953" s="1">
        <v>45017</v>
      </c>
      <c r="E953" t="s">
        <v>50</v>
      </c>
      <c r="F953" t="s">
        <v>2378</v>
      </c>
      <c r="G953" t="s">
        <v>2080</v>
      </c>
      <c r="H953" t="s">
        <v>36</v>
      </c>
      <c r="I953" t="s">
        <v>36</v>
      </c>
      <c r="J953" t="s">
        <v>37</v>
      </c>
      <c r="K953">
        <v>191</v>
      </c>
      <c r="L953">
        <v>5</v>
      </c>
      <c r="M953">
        <v>146</v>
      </c>
      <c r="N953">
        <v>7</v>
      </c>
      <c r="O953" t="s">
        <v>2080</v>
      </c>
      <c r="P953" t="s">
        <v>38</v>
      </c>
      <c r="Q953">
        <v>7</v>
      </c>
      <c r="R953">
        <v>0</v>
      </c>
      <c r="S953" t="s">
        <v>2379</v>
      </c>
      <c r="T953" t="s">
        <v>1279</v>
      </c>
      <c r="U953" t="s">
        <v>819</v>
      </c>
      <c r="V953" t="s">
        <v>1417</v>
      </c>
      <c r="W953" t="s">
        <v>455</v>
      </c>
      <c r="X953" t="s">
        <v>2380</v>
      </c>
      <c r="Y953" t="s">
        <v>45</v>
      </c>
      <c r="Z953">
        <v>20</v>
      </c>
      <c r="AA953">
        <v>6</v>
      </c>
      <c r="AB953" t="s">
        <v>46</v>
      </c>
      <c r="AC953" t="s">
        <v>47</v>
      </c>
      <c r="AD953" t="s">
        <v>2381</v>
      </c>
      <c r="AE953" t="s">
        <v>2382</v>
      </c>
    </row>
    <row r="954" spans="1:31" x14ac:dyDescent="0.2">
      <c r="A954" t="s">
        <v>31</v>
      </c>
      <c r="B954">
        <v>2023</v>
      </c>
      <c r="C954">
        <v>3</v>
      </c>
      <c r="D954" s="1">
        <v>45017</v>
      </c>
      <c r="E954" t="s">
        <v>2383</v>
      </c>
      <c r="F954" t="s">
        <v>2384</v>
      </c>
      <c r="G954" t="s">
        <v>2213</v>
      </c>
      <c r="H954" t="s">
        <v>1820</v>
      </c>
      <c r="I954" t="s">
        <v>1820</v>
      </c>
      <c r="J954" t="s">
        <v>37</v>
      </c>
      <c r="K954">
        <v>193</v>
      </c>
      <c r="L954">
        <v>6</v>
      </c>
      <c r="M954">
        <v>143</v>
      </c>
      <c r="N954">
        <v>9</v>
      </c>
      <c r="O954" t="s">
        <v>2213</v>
      </c>
      <c r="P954" t="s">
        <v>38</v>
      </c>
      <c r="Q954">
        <v>50</v>
      </c>
      <c r="R954">
        <v>0</v>
      </c>
      <c r="S954" t="s">
        <v>2385</v>
      </c>
      <c r="T954" t="s">
        <v>2215</v>
      </c>
      <c r="U954" t="s">
        <v>146</v>
      </c>
      <c r="V954" t="s">
        <v>621</v>
      </c>
      <c r="W954" t="s">
        <v>1733</v>
      </c>
      <c r="X954" t="s">
        <v>2386</v>
      </c>
      <c r="Y954" t="s">
        <v>45</v>
      </c>
      <c r="Z954">
        <v>20</v>
      </c>
      <c r="AA954">
        <v>6</v>
      </c>
      <c r="AB954" t="s">
        <v>46</v>
      </c>
      <c r="AC954" t="s">
        <v>47</v>
      </c>
      <c r="AD954" t="s">
        <v>2387</v>
      </c>
      <c r="AE954" t="s">
        <v>2388</v>
      </c>
    </row>
    <row r="955" spans="1:31" x14ac:dyDescent="0.2">
      <c r="A955" t="s">
        <v>31</v>
      </c>
      <c r="B955">
        <v>2023</v>
      </c>
      <c r="C955">
        <v>4</v>
      </c>
      <c r="D955" s="1">
        <v>45018</v>
      </c>
      <c r="E955" t="s">
        <v>101</v>
      </c>
      <c r="F955" t="s">
        <v>2389</v>
      </c>
      <c r="G955" t="s">
        <v>66</v>
      </c>
      <c r="H955" t="s">
        <v>968</v>
      </c>
      <c r="I955" t="s">
        <v>968</v>
      </c>
      <c r="J955" t="s">
        <v>37</v>
      </c>
      <c r="K955">
        <v>203</v>
      </c>
      <c r="L955">
        <v>5</v>
      </c>
      <c r="M955">
        <v>131</v>
      </c>
      <c r="N955">
        <v>8</v>
      </c>
      <c r="O955" t="s">
        <v>66</v>
      </c>
      <c r="P955" t="s">
        <v>38</v>
      </c>
      <c r="Q955">
        <v>72</v>
      </c>
      <c r="R955">
        <v>0</v>
      </c>
      <c r="S955" t="s">
        <v>1599</v>
      </c>
      <c r="T955" t="s">
        <v>1553</v>
      </c>
      <c r="U955" t="s">
        <v>463</v>
      </c>
      <c r="V955" t="s">
        <v>1193</v>
      </c>
      <c r="W955" t="s">
        <v>1197</v>
      </c>
      <c r="X955" t="s">
        <v>2390</v>
      </c>
      <c r="Y955" t="s">
        <v>45</v>
      </c>
      <c r="Z955">
        <v>20</v>
      </c>
      <c r="AA955">
        <v>6</v>
      </c>
      <c r="AB955" t="s">
        <v>46</v>
      </c>
      <c r="AC955" t="s">
        <v>47</v>
      </c>
      <c r="AD955" t="s">
        <v>2391</v>
      </c>
      <c r="AE955" t="s">
        <v>2392</v>
      </c>
    </row>
    <row r="956" spans="1:31" x14ac:dyDescent="0.2">
      <c r="A956" t="s">
        <v>31</v>
      </c>
      <c r="B956">
        <v>2023</v>
      </c>
      <c r="C956">
        <v>5</v>
      </c>
      <c r="D956" s="1">
        <v>45018</v>
      </c>
      <c r="E956" t="s">
        <v>1558</v>
      </c>
      <c r="F956" t="s">
        <v>2393</v>
      </c>
      <c r="G956" t="s">
        <v>87</v>
      </c>
      <c r="H956" t="s">
        <v>35</v>
      </c>
      <c r="I956" t="s">
        <v>35</v>
      </c>
      <c r="J956" t="s">
        <v>37</v>
      </c>
      <c r="K956">
        <v>171</v>
      </c>
      <c r="L956">
        <v>7</v>
      </c>
      <c r="M956">
        <v>172</v>
      </c>
      <c r="N956">
        <v>2</v>
      </c>
      <c r="O956" t="s">
        <v>35</v>
      </c>
      <c r="P956" t="s">
        <v>38</v>
      </c>
      <c r="Q956">
        <v>0</v>
      </c>
      <c r="R956">
        <v>8</v>
      </c>
      <c r="S956" t="s">
        <v>822</v>
      </c>
      <c r="T956" t="s">
        <v>40</v>
      </c>
      <c r="U956" t="s">
        <v>989</v>
      </c>
      <c r="V956" t="s">
        <v>982</v>
      </c>
      <c r="W956" t="s">
        <v>939</v>
      </c>
      <c r="X956" t="s">
        <v>2375</v>
      </c>
      <c r="Y956" t="s">
        <v>45</v>
      </c>
      <c r="Z956">
        <v>20</v>
      </c>
      <c r="AA956">
        <v>6</v>
      </c>
      <c r="AB956" t="s">
        <v>46</v>
      </c>
      <c r="AC956" t="s">
        <v>47</v>
      </c>
      <c r="AD956" t="s">
        <v>2394</v>
      </c>
      <c r="AE956" t="s">
        <v>2395</v>
      </c>
    </row>
    <row r="957" spans="1:31" x14ac:dyDescent="0.2">
      <c r="A957" t="s">
        <v>31</v>
      </c>
      <c r="B957">
        <v>2023</v>
      </c>
      <c r="C957">
        <v>6</v>
      </c>
      <c r="D957" s="1">
        <v>45019</v>
      </c>
      <c r="E957" t="s">
        <v>108</v>
      </c>
      <c r="F957" t="s">
        <v>2072</v>
      </c>
      <c r="G957" t="s">
        <v>53</v>
      </c>
      <c r="H957" t="s">
        <v>2213</v>
      </c>
      <c r="I957" t="s">
        <v>2213</v>
      </c>
      <c r="J957" t="s">
        <v>37</v>
      </c>
      <c r="K957">
        <v>217</v>
      </c>
      <c r="L957">
        <v>7</v>
      </c>
      <c r="M957">
        <v>205</v>
      </c>
      <c r="N957">
        <v>7</v>
      </c>
      <c r="O957" t="s">
        <v>53</v>
      </c>
      <c r="P957" t="s">
        <v>38</v>
      </c>
      <c r="Q957">
        <v>12</v>
      </c>
      <c r="R957">
        <v>0</v>
      </c>
      <c r="S957" t="s">
        <v>2097</v>
      </c>
      <c r="T957" t="s">
        <v>1279</v>
      </c>
      <c r="U957" t="s">
        <v>2228</v>
      </c>
      <c r="V957" t="s">
        <v>819</v>
      </c>
      <c r="W957" t="s">
        <v>1210</v>
      </c>
      <c r="X957" t="s">
        <v>2380</v>
      </c>
      <c r="Y957" t="s">
        <v>45</v>
      </c>
      <c r="Z957">
        <v>20</v>
      </c>
      <c r="AA957">
        <v>6</v>
      </c>
      <c r="AB957" t="s">
        <v>46</v>
      </c>
      <c r="AC957" t="s">
        <v>47</v>
      </c>
      <c r="AD957" t="s">
        <v>2396</v>
      </c>
      <c r="AE957" t="s">
        <v>2397</v>
      </c>
    </row>
    <row r="958" spans="1:31" x14ac:dyDescent="0.2">
      <c r="A958" t="s">
        <v>31</v>
      </c>
      <c r="B958">
        <v>2023</v>
      </c>
      <c r="C958">
        <v>7</v>
      </c>
      <c r="D958" s="1">
        <v>45020</v>
      </c>
      <c r="E958" t="s">
        <v>63</v>
      </c>
      <c r="F958" t="s">
        <v>2120</v>
      </c>
      <c r="G958" t="s">
        <v>1820</v>
      </c>
      <c r="H958" t="s">
        <v>2214</v>
      </c>
      <c r="I958" t="s">
        <v>2214</v>
      </c>
      <c r="J958" t="s">
        <v>37</v>
      </c>
      <c r="K958">
        <v>162</v>
      </c>
      <c r="L958">
        <v>8</v>
      </c>
      <c r="M958">
        <v>163</v>
      </c>
      <c r="N958">
        <v>4</v>
      </c>
      <c r="O958" t="s">
        <v>2214</v>
      </c>
      <c r="P958" t="s">
        <v>38</v>
      </c>
      <c r="Q958">
        <v>0</v>
      </c>
      <c r="R958">
        <v>6</v>
      </c>
      <c r="S958" t="s">
        <v>2398</v>
      </c>
      <c r="T958" t="s">
        <v>2215</v>
      </c>
      <c r="U958" t="s">
        <v>969</v>
      </c>
      <c r="V958" t="s">
        <v>1733</v>
      </c>
      <c r="W958" t="s">
        <v>146</v>
      </c>
      <c r="X958" t="s">
        <v>2386</v>
      </c>
      <c r="Y958" t="s">
        <v>45</v>
      </c>
      <c r="Z958">
        <v>20</v>
      </c>
      <c r="AA958">
        <v>6</v>
      </c>
      <c r="AB958" t="s">
        <v>46</v>
      </c>
      <c r="AC958" t="s">
        <v>47</v>
      </c>
      <c r="AD958" t="s">
        <v>2399</v>
      </c>
      <c r="AE958" t="s">
        <v>2400</v>
      </c>
    </row>
    <row r="959" spans="1:31" x14ac:dyDescent="0.2">
      <c r="A959" t="s">
        <v>31</v>
      </c>
      <c r="B959">
        <v>2023</v>
      </c>
      <c r="C959">
        <v>8</v>
      </c>
      <c r="D959" s="1">
        <v>45021</v>
      </c>
      <c r="E959" t="s">
        <v>2401</v>
      </c>
      <c r="F959" t="s">
        <v>2402</v>
      </c>
      <c r="G959" t="s">
        <v>2080</v>
      </c>
      <c r="H959" t="s">
        <v>66</v>
      </c>
      <c r="I959" t="s">
        <v>66</v>
      </c>
      <c r="J959" t="s">
        <v>37</v>
      </c>
      <c r="K959">
        <v>197</v>
      </c>
      <c r="L959">
        <v>5</v>
      </c>
      <c r="M959">
        <v>192</v>
      </c>
      <c r="N959">
        <v>7</v>
      </c>
      <c r="O959" t="s">
        <v>2080</v>
      </c>
      <c r="P959" t="s">
        <v>38</v>
      </c>
      <c r="Q959">
        <v>5</v>
      </c>
      <c r="R959">
        <v>0</v>
      </c>
      <c r="S959" t="s">
        <v>2403</v>
      </c>
      <c r="T959" t="s">
        <v>1553</v>
      </c>
      <c r="U959" t="s">
        <v>463</v>
      </c>
      <c r="V959" t="s">
        <v>2219</v>
      </c>
      <c r="W959" t="s">
        <v>1193</v>
      </c>
      <c r="X959" t="s">
        <v>2390</v>
      </c>
      <c r="Y959" t="s">
        <v>45</v>
      </c>
      <c r="Z959">
        <v>20</v>
      </c>
      <c r="AA959">
        <v>6</v>
      </c>
      <c r="AB959" t="s">
        <v>46</v>
      </c>
      <c r="AC959" t="s">
        <v>47</v>
      </c>
      <c r="AD959" t="s">
        <v>2404</v>
      </c>
      <c r="AE959" t="s">
        <v>2405</v>
      </c>
    </row>
    <row r="960" spans="1:31" x14ac:dyDescent="0.2">
      <c r="A960" t="s">
        <v>31</v>
      </c>
      <c r="B960">
        <v>2023</v>
      </c>
      <c r="C960">
        <v>9</v>
      </c>
      <c r="D960" s="1">
        <v>45022</v>
      </c>
      <c r="E960" t="s">
        <v>75</v>
      </c>
      <c r="F960" t="s">
        <v>2368</v>
      </c>
      <c r="G960" t="s">
        <v>36</v>
      </c>
      <c r="H960" t="s">
        <v>35</v>
      </c>
      <c r="I960" t="s">
        <v>35</v>
      </c>
      <c r="J960" t="s">
        <v>37</v>
      </c>
      <c r="K960">
        <v>204</v>
      </c>
      <c r="L960">
        <v>7</v>
      </c>
      <c r="M960">
        <v>123</v>
      </c>
      <c r="N960">
        <v>10</v>
      </c>
      <c r="O960" t="s">
        <v>36</v>
      </c>
      <c r="P960" t="s">
        <v>38</v>
      </c>
      <c r="Q960">
        <v>81</v>
      </c>
      <c r="R960">
        <v>0</v>
      </c>
      <c r="S960" t="s">
        <v>2354</v>
      </c>
      <c r="T960" t="s">
        <v>1965</v>
      </c>
      <c r="U960" t="s">
        <v>2233</v>
      </c>
      <c r="V960" t="s">
        <v>939</v>
      </c>
      <c r="W960" t="s">
        <v>989</v>
      </c>
      <c r="X960" t="s">
        <v>2375</v>
      </c>
      <c r="Y960" t="s">
        <v>45</v>
      </c>
      <c r="Z960">
        <v>20</v>
      </c>
      <c r="AA960">
        <v>6</v>
      </c>
      <c r="AB960" t="s">
        <v>46</v>
      </c>
      <c r="AC960" t="s">
        <v>47</v>
      </c>
      <c r="AD960" t="s">
        <v>2406</v>
      </c>
      <c r="AE960" t="s">
        <v>2407</v>
      </c>
    </row>
    <row r="961" spans="1:31" x14ac:dyDescent="0.2">
      <c r="A961" t="s">
        <v>31</v>
      </c>
      <c r="B961">
        <v>2023</v>
      </c>
      <c r="C961">
        <v>10</v>
      </c>
      <c r="D961" s="1">
        <v>45023</v>
      </c>
      <c r="E961" t="s">
        <v>2383</v>
      </c>
      <c r="F961" t="s">
        <v>2384</v>
      </c>
      <c r="G961" t="s">
        <v>968</v>
      </c>
      <c r="H961" t="s">
        <v>2213</v>
      </c>
      <c r="I961" t="s">
        <v>968</v>
      </c>
      <c r="J961" t="s">
        <v>54</v>
      </c>
      <c r="K961">
        <v>121</v>
      </c>
      <c r="L961">
        <v>8</v>
      </c>
      <c r="M961">
        <v>127</v>
      </c>
      <c r="N961">
        <v>5</v>
      </c>
      <c r="O961" t="s">
        <v>2213</v>
      </c>
      <c r="P961" t="s">
        <v>38</v>
      </c>
      <c r="Q961">
        <v>0</v>
      </c>
      <c r="R961">
        <v>5</v>
      </c>
      <c r="S961" t="s">
        <v>1503</v>
      </c>
      <c r="T961" t="s">
        <v>1279</v>
      </c>
      <c r="U961" t="s">
        <v>455</v>
      </c>
      <c r="V961" t="s">
        <v>1417</v>
      </c>
      <c r="W961" t="s">
        <v>819</v>
      </c>
      <c r="X961" t="s">
        <v>2380</v>
      </c>
      <c r="Y961" t="s">
        <v>45</v>
      </c>
      <c r="Z961">
        <v>20</v>
      </c>
      <c r="AA961">
        <v>6</v>
      </c>
      <c r="AB961" t="s">
        <v>46</v>
      </c>
      <c r="AC961" t="s">
        <v>47</v>
      </c>
      <c r="AD961" t="s">
        <v>2408</v>
      </c>
      <c r="AE961" t="s">
        <v>2409</v>
      </c>
    </row>
    <row r="962" spans="1:31" x14ac:dyDescent="0.2">
      <c r="A962" t="s">
        <v>31</v>
      </c>
      <c r="B962">
        <v>2023</v>
      </c>
      <c r="C962">
        <v>11</v>
      </c>
      <c r="D962" s="1">
        <v>45024</v>
      </c>
      <c r="E962" t="s">
        <v>2401</v>
      </c>
      <c r="F962" t="s">
        <v>2402</v>
      </c>
      <c r="G962" t="s">
        <v>66</v>
      </c>
      <c r="H962" t="s">
        <v>1820</v>
      </c>
      <c r="I962" t="s">
        <v>1820</v>
      </c>
      <c r="J962" t="s">
        <v>37</v>
      </c>
      <c r="K962">
        <v>199</v>
      </c>
      <c r="L962">
        <v>4</v>
      </c>
      <c r="M962">
        <v>142</v>
      </c>
      <c r="N962">
        <v>9</v>
      </c>
      <c r="O962" t="s">
        <v>66</v>
      </c>
      <c r="P962" t="s">
        <v>38</v>
      </c>
      <c r="Q962">
        <v>57</v>
      </c>
      <c r="R962">
        <v>0</v>
      </c>
      <c r="S962" t="s">
        <v>2328</v>
      </c>
      <c r="T962" t="s">
        <v>1553</v>
      </c>
      <c r="U962" t="s">
        <v>1197</v>
      </c>
      <c r="V962" t="s">
        <v>2219</v>
      </c>
      <c r="W962" t="s">
        <v>463</v>
      </c>
      <c r="X962" t="s">
        <v>2390</v>
      </c>
      <c r="Y962" t="s">
        <v>45</v>
      </c>
      <c r="Z962">
        <v>20</v>
      </c>
      <c r="AA962">
        <v>6</v>
      </c>
      <c r="AB962" t="s">
        <v>46</v>
      </c>
      <c r="AC962" t="s">
        <v>47</v>
      </c>
      <c r="AD962" t="s">
        <v>2410</v>
      </c>
      <c r="AE962" t="s">
        <v>2411</v>
      </c>
    </row>
    <row r="963" spans="1:31" x14ac:dyDescent="0.2">
      <c r="A963" t="s">
        <v>31</v>
      </c>
      <c r="B963">
        <v>2023</v>
      </c>
      <c r="C963">
        <v>12</v>
      </c>
      <c r="D963" s="1">
        <v>45024</v>
      </c>
      <c r="E963" t="s">
        <v>85</v>
      </c>
      <c r="F963" t="s">
        <v>2075</v>
      </c>
      <c r="G963" t="s">
        <v>87</v>
      </c>
      <c r="H963" t="s">
        <v>53</v>
      </c>
      <c r="I963" t="s">
        <v>53</v>
      </c>
      <c r="J963" t="s">
        <v>37</v>
      </c>
      <c r="K963">
        <v>157</v>
      </c>
      <c r="L963">
        <v>8</v>
      </c>
      <c r="M963">
        <v>159</v>
      </c>
      <c r="N963">
        <v>3</v>
      </c>
      <c r="O963" t="s">
        <v>53</v>
      </c>
      <c r="P963" t="s">
        <v>38</v>
      </c>
      <c r="Q963">
        <v>0</v>
      </c>
      <c r="R963">
        <v>7</v>
      </c>
      <c r="S963" t="s">
        <v>802</v>
      </c>
      <c r="T963" t="s">
        <v>2215</v>
      </c>
      <c r="U963" t="s">
        <v>1283</v>
      </c>
      <c r="V963" t="s">
        <v>621</v>
      </c>
      <c r="W963" t="s">
        <v>146</v>
      </c>
      <c r="X963" t="s">
        <v>2386</v>
      </c>
      <c r="Y963" t="s">
        <v>45</v>
      </c>
      <c r="Z963">
        <v>20</v>
      </c>
      <c r="AA963">
        <v>6</v>
      </c>
      <c r="AB963" t="s">
        <v>46</v>
      </c>
      <c r="AC963" t="s">
        <v>47</v>
      </c>
      <c r="AD963" t="s">
        <v>2412</v>
      </c>
      <c r="AE963" t="s">
        <v>2413</v>
      </c>
    </row>
    <row r="964" spans="1:31" x14ac:dyDescent="0.2">
      <c r="A964" t="s">
        <v>31</v>
      </c>
      <c r="B964">
        <v>2023</v>
      </c>
      <c r="C964">
        <v>13</v>
      </c>
      <c r="D964" s="1">
        <v>45025</v>
      </c>
      <c r="E964" t="s">
        <v>458</v>
      </c>
      <c r="F964" t="s">
        <v>2115</v>
      </c>
      <c r="G964" t="s">
        <v>2214</v>
      </c>
      <c r="H964" t="s">
        <v>36</v>
      </c>
      <c r="I964" t="s">
        <v>2214</v>
      </c>
      <c r="J964" t="s">
        <v>54</v>
      </c>
      <c r="K964">
        <v>204</v>
      </c>
      <c r="L964">
        <v>4</v>
      </c>
      <c r="M964">
        <v>207</v>
      </c>
      <c r="N964">
        <v>7</v>
      </c>
      <c r="O964" t="s">
        <v>36</v>
      </c>
      <c r="P964" t="s">
        <v>38</v>
      </c>
      <c r="Q964">
        <v>0</v>
      </c>
      <c r="R964">
        <v>3</v>
      </c>
      <c r="S964" t="s">
        <v>2316</v>
      </c>
      <c r="T964" t="s">
        <v>40</v>
      </c>
      <c r="U964" t="s">
        <v>989</v>
      </c>
      <c r="V964" t="s">
        <v>982</v>
      </c>
      <c r="W964" t="s">
        <v>1728</v>
      </c>
      <c r="X964" t="s">
        <v>2375</v>
      </c>
      <c r="Y964" t="s">
        <v>45</v>
      </c>
      <c r="Z964">
        <v>20</v>
      </c>
      <c r="AA964">
        <v>6</v>
      </c>
      <c r="AB964" t="s">
        <v>46</v>
      </c>
      <c r="AC964" t="s">
        <v>47</v>
      </c>
      <c r="AD964" t="s">
        <v>2414</v>
      </c>
      <c r="AE964" t="s">
        <v>2415</v>
      </c>
    </row>
    <row r="965" spans="1:31" x14ac:dyDescent="0.2">
      <c r="A965" t="s">
        <v>31</v>
      </c>
      <c r="B965">
        <v>2023</v>
      </c>
      <c r="C965">
        <v>14</v>
      </c>
      <c r="D965" s="1">
        <v>45025</v>
      </c>
      <c r="E965" t="s">
        <v>101</v>
      </c>
      <c r="F965" t="s">
        <v>2389</v>
      </c>
      <c r="G965" t="s">
        <v>2080</v>
      </c>
      <c r="H965" t="s">
        <v>968</v>
      </c>
      <c r="I965" t="s">
        <v>968</v>
      </c>
      <c r="J965" t="s">
        <v>37</v>
      </c>
      <c r="K965">
        <v>143</v>
      </c>
      <c r="L965">
        <v>9</v>
      </c>
      <c r="M965">
        <v>145</v>
      </c>
      <c r="N965">
        <v>2</v>
      </c>
      <c r="O965" t="s">
        <v>968</v>
      </c>
      <c r="P965" t="s">
        <v>38</v>
      </c>
      <c r="Q965">
        <v>0</v>
      </c>
      <c r="R965">
        <v>8</v>
      </c>
      <c r="S965" t="s">
        <v>763</v>
      </c>
      <c r="T965" t="s">
        <v>1279</v>
      </c>
      <c r="U965" t="s">
        <v>819</v>
      </c>
      <c r="V965" t="s">
        <v>1210</v>
      </c>
      <c r="W965" t="s">
        <v>455</v>
      </c>
      <c r="X965" t="s">
        <v>2380</v>
      </c>
      <c r="Y965" t="s">
        <v>45</v>
      </c>
      <c r="Z965">
        <v>20</v>
      </c>
      <c r="AA965">
        <v>6</v>
      </c>
      <c r="AB965" t="s">
        <v>46</v>
      </c>
      <c r="AC965" t="s">
        <v>47</v>
      </c>
      <c r="AD965" t="s">
        <v>2416</v>
      </c>
      <c r="AE965" t="s">
        <v>2417</v>
      </c>
    </row>
    <row r="966" spans="1:31" x14ac:dyDescent="0.2">
      <c r="A966" t="s">
        <v>31</v>
      </c>
      <c r="B966">
        <v>2023</v>
      </c>
      <c r="C966">
        <v>15</v>
      </c>
      <c r="D966" s="1">
        <v>45026</v>
      </c>
      <c r="E966" t="s">
        <v>1558</v>
      </c>
      <c r="F966" t="s">
        <v>2393</v>
      </c>
      <c r="G966" t="s">
        <v>35</v>
      </c>
      <c r="H966" t="s">
        <v>2213</v>
      </c>
      <c r="I966" t="s">
        <v>2213</v>
      </c>
      <c r="J966" t="s">
        <v>37</v>
      </c>
      <c r="K966">
        <v>212</v>
      </c>
      <c r="L966">
        <v>2</v>
      </c>
      <c r="M966">
        <v>213</v>
      </c>
      <c r="N966">
        <v>9</v>
      </c>
      <c r="O966" t="s">
        <v>2213</v>
      </c>
      <c r="P966" t="s">
        <v>38</v>
      </c>
      <c r="Q966">
        <v>0</v>
      </c>
      <c r="R966">
        <v>1</v>
      </c>
      <c r="S966" t="s">
        <v>2418</v>
      </c>
      <c r="T966" t="s">
        <v>2215</v>
      </c>
      <c r="U966" t="s">
        <v>146</v>
      </c>
      <c r="V966" t="s">
        <v>969</v>
      </c>
      <c r="W966" t="s">
        <v>1283</v>
      </c>
      <c r="X966" t="s">
        <v>2386</v>
      </c>
      <c r="Y966" t="s">
        <v>45</v>
      </c>
      <c r="Z966">
        <v>20</v>
      </c>
      <c r="AA966">
        <v>6</v>
      </c>
      <c r="AB966" t="s">
        <v>46</v>
      </c>
      <c r="AC966" t="s">
        <v>47</v>
      </c>
      <c r="AD966" t="s">
        <v>2419</v>
      </c>
      <c r="AE966" t="s">
        <v>2420</v>
      </c>
    </row>
    <row r="967" spans="1:31" x14ac:dyDescent="0.2">
      <c r="A967" t="s">
        <v>31</v>
      </c>
      <c r="B967">
        <v>2023</v>
      </c>
      <c r="C967">
        <v>16</v>
      </c>
      <c r="D967" s="1">
        <v>45027</v>
      </c>
      <c r="E967" t="s">
        <v>63</v>
      </c>
      <c r="F967" t="s">
        <v>2120</v>
      </c>
      <c r="G967" t="s">
        <v>1820</v>
      </c>
      <c r="H967" t="s">
        <v>87</v>
      </c>
      <c r="I967" t="s">
        <v>87</v>
      </c>
      <c r="J967" t="s">
        <v>37</v>
      </c>
      <c r="K967">
        <v>172</v>
      </c>
      <c r="L967">
        <v>10</v>
      </c>
      <c r="M967">
        <v>173</v>
      </c>
      <c r="N967">
        <v>4</v>
      </c>
      <c r="O967" t="s">
        <v>87</v>
      </c>
      <c r="P967" t="s">
        <v>38</v>
      </c>
      <c r="Q967">
        <v>0</v>
      </c>
      <c r="R967">
        <v>6</v>
      </c>
      <c r="S967" t="s">
        <v>369</v>
      </c>
      <c r="T967" t="s">
        <v>1553</v>
      </c>
      <c r="U967" t="s">
        <v>2143</v>
      </c>
      <c r="V967" t="s">
        <v>1193</v>
      </c>
      <c r="W967" t="s">
        <v>463</v>
      </c>
      <c r="X967" t="s">
        <v>2390</v>
      </c>
      <c r="Y967" t="s">
        <v>45</v>
      </c>
      <c r="Z967">
        <v>20</v>
      </c>
      <c r="AA967">
        <v>6</v>
      </c>
      <c r="AB967" t="s">
        <v>46</v>
      </c>
      <c r="AC967" t="s">
        <v>47</v>
      </c>
      <c r="AD967" t="s">
        <v>2421</v>
      </c>
      <c r="AE967" t="s">
        <v>2422</v>
      </c>
    </row>
    <row r="968" spans="1:31" x14ac:dyDescent="0.2">
      <c r="A968" t="s">
        <v>31</v>
      </c>
      <c r="B968">
        <v>2023</v>
      </c>
      <c r="C968">
        <v>17</v>
      </c>
      <c r="D968" s="1">
        <v>45028</v>
      </c>
      <c r="E968" t="s">
        <v>108</v>
      </c>
      <c r="F968" t="s">
        <v>2072</v>
      </c>
      <c r="G968" t="s">
        <v>66</v>
      </c>
      <c r="H968" t="s">
        <v>53</v>
      </c>
      <c r="I968" t="s">
        <v>53</v>
      </c>
      <c r="J968" t="s">
        <v>37</v>
      </c>
      <c r="K968">
        <v>175</v>
      </c>
      <c r="L968">
        <v>8</v>
      </c>
      <c r="M968">
        <v>172</v>
      </c>
      <c r="N968">
        <v>6</v>
      </c>
      <c r="O968" t="s">
        <v>66</v>
      </c>
      <c r="P968" t="s">
        <v>38</v>
      </c>
      <c r="Q968">
        <v>3</v>
      </c>
      <c r="R968">
        <v>0</v>
      </c>
      <c r="S968" t="s">
        <v>571</v>
      </c>
      <c r="T968" t="s">
        <v>40</v>
      </c>
      <c r="U968" t="s">
        <v>2233</v>
      </c>
      <c r="V968" t="s">
        <v>939</v>
      </c>
      <c r="W968" t="s">
        <v>989</v>
      </c>
      <c r="X968" t="s">
        <v>2375</v>
      </c>
      <c r="Y968" t="s">
        <v>45</v>
      </c>
      <c r="Z968">
        <v>20</v>
      </c>
      <c r="AA968">
        <v>6</v>
      </c>
      <c r="AB968" t="s">
        <v>46</v>
      </c>
      <c r="AC968" t="s">
        <v>47</v>
      </c>
      <c r="AD968" t="s">
        <v>2423</v>
      </c>
      <c r="AE968" t="s">
        <v>2424</v>
      </c>
    </row>
    <row r="969" spans="1:31" x14ac:dyDescent="0.2">
      <c r="A969" t="s">
        <v>31</v>
      </c>
      <c r="B969">
        <v>2023</v>
      </c>
      <c r="C969">
        <v>18</v>
      </c>
      <c r="D969" s="1">
        <v>45029</v>
      </c>
      <c r="E969" t="s">
        <v>50</v>
      </c>
      <c r="F969" t="s">
        <v>2378</v>
      </c>
      <c r="G969" t="s">
        <v>2080</v>
      </c>
      <c r="H969" t="s">
        <v>2214</v>
      </c>
      <c r="I969" t="s">
        <v>2214</v>
      </c>
      <c r="J969" t="s">
        <v>37</v>
      </c>
      <c r="K969">
        <v>153</v>
      </c>
      <c r="L969">
        <v>8</v>
      </c>
      <c r="M969">
        <v>154</v>
      </c>
      <c r="N969">
        <v>4</v>
      </c>
      <c r="O969" t="s">
        <v>2214</v>
      </c>
      <c r="P969" t="s">
        <v>38</v>
      </c>
      <c r="Q969">
        <v>0</v>
      </c>
      <c r="R969">
        <v>6</v>
      </c>
      <c r="S969" t="s">
        <v>1169</v>
      </c>
      <c r="T969" t="s">
        <v>2425</v>
      </c>
      <c r="U969" t="s">
        <v>2228</v>
      </c>
      <c r="V969" t="s">
        <v>455</v>
      </c>
      <c r="W969" t="s">
        <v>819</v>
      </c>
      <c r="X969" t="s">
        <v>2380</v>
      </c>
      <c r="Y969" t="s">
        <v>45</v>
      </c>
      <c r="Z969">
        <v>20</v>
      </c>
      <c r="AA969">
        <v>6</v>
      </c>
      <c r="AB969" t="s">
        <v>46</v>
      </c>
      <c r="AC969" t="s">
        <v>47</v>
      </c>
      <c r="AD969" t="s">
        <v>2426</v>
      </c>
      <c r="AE969" t="s">
        <v>2427</v>
      </c>
    </row>
    <row r="970" spans="1:31" x14ac:dyDescent="0.2">
      <c r="A970" t="s">
        <v>31</v>
      </c>
      <c r="B970">
        <v>2023</v>
      </c>
      <c r="C970">
        <v>19</v>
      </c>
      <c r="D970" s="1">
        <v>45030</v>
      </c>
      <c r="E970" t="s">
        <v>75</v>
      </c>
      <c r="F970" t="s">
        <v>2368</v>
      </c>
      <c r="G970" t="s">
        <v>968</v>
      </c>
      <c r="H970" t="s">
        <v>36</v>
      </c>
      <c r="I970" t="s">
        <v>36</v>
      </c>
      <c r="J970" t="s">
        <v>37</v>
      </c>
      <c r="K970">
        <v>228</v>
      </c>
      <c r="L970">
        <v>4</v>
      </c>
      <c r="M970">
        <v>205</v>
      </c>
      <c r="N970">
        <v>7</v>
      </c>
      <c r="O970" t="s">
        <v>968</v>
      </c>
      <c r="P970" t="s">
        <v>38</v>
      </c>
      <c r="Q970">
        <v>23</v>
      </c>
      <c r="R970">
        <v>0</v>
      </c>
      <c r="S970" t="s">
        <v>2428</v>
      </c>
      <c r="T970" t="s">
        <v>2215</v>
      </c>
      <c r="U970" t="s">
        <v>1283</v>
      </c>
      <c r="V970" t="s">
        <v>1733</v>
      </c>
      <c r="W970" t="s">
        <v>621</v>
      </c>
      <c r="X970" t="s">
        <v>2386</v>
      </c>
      <c r="Y970" t="s">
        <v>45</v>
      </c>
      <c r="Z970">
        <v>20</v>
      </c>
      <c r="AA970">
        <v>6</v>
      </c>
      <c r="AB970" t="s">
        <v>46</v>
      </c>
      <c r="AC970" t="s">
        <v>47</v>
      </c>
      <c r="AD970" t="s">
        <v>2429</v>
      </c>
      <c r="AE970" t="s">
        <v>2430</v>
      </c>
    </row>
    <row r="971" spans="1:31" x14ac:dyDescent="0.2">
      <c r="A971" t="s">
        <v>31</v>
      </c>
      <c r="B971">
        <v>2023</v>
      </c>
      <c r="C971">
        <v>20</v>
      </c>
      <c r="D971" s="1">
        <v>45031</v>
      </c>
      <c r="E971" t="s">
        <v>1558</v>
      </c>
      <c r="F971" t="s">
        <v>2393</v>
      </c>
      <c r="G971" t="s">
        <v>35</v>
      </c>
      <c r="H971" t="s">
        <v>1820</v>
      </c>
      <c r="I971" t="s">
        <v>1820</v>
      </c>
      <c r="J971" t="s">
        <v>37</v>
      </c>
      <c r="K971">
        <v>174</v>
      </c>
      <c r="L971">
        <v>6</v>
      </c>
      <c r="M971">
        <v>151</v>
      </c>
      <c r="N971">
        <v>9</v>
      </c>
      <c r="O971" t="s">
        <v>35</v>
      </c>
      <c r="P971" t="s">
        <v>38</v>
      </c>
      <c r="Q971">
        <v>23</v>
      </c>
      <c r="R971">
        <v>0</v>
      </c>
      <c r="S971" t="s">
        <v>678</v>
      </c>
      <c r="T971" t="s">
        <v>1461</v>
      </c>
      <c r="U971" t="s">
        <v>463</v>
      </c>
      <c r="V971" t="s">
        <v>2219</v>
      </c>
      <c r="W971" t="s">
        <v>2143</v>
      </c>
      <c r="X971" t="s">
        <v>2390</v>
      </c>
      <c r="Y971" t="s">
        <v>45</v>
      </c>
      <c r="Z971">
        <v>20</v>
      </c>
      <c r="AA971">
        <v>6</v>
      </c>
      <c r="AB971" t="s">
        <v>46</v>
      </c>
      <c r="AC971" t="s">
        <v>47</v>
      </c>
      <c r="AD971" t="s">
        <v>2431</v>
      </c>
      <c r="AE971" t="s">
        <v>2432</v>
      </c>
    </row>
    <row r="972" spans="1:31" x14ac:dyDescent="0.2">
      <c r="A972" t="s">
        <v>31</v>
      </c>
      <c r="B972">
        <v>2023</v>
      </c>
      <c r="C972">
        <v>21</v>
      </c>
      <c r="D972" s="1">
        <v>45031</v>
      </c>
      <c r="E972" t="s">
        <v>2383</v>
      </c>
      <c r="F972" t="s">
        <v>2384</v>
      </c>
      <c r="G972" t="s">
        <v>2213</v>
      </c>
      <c r="H972" t="s">
        <v>2080</v>
      </c>
      <c r="I972" t="s">
        <v>2080</v>
      </c>
      <c r="J972" t="s">
        <v>37</v>
      </c>
      <c r="K972">
        <v>159</v>
      </c>
      <c r="L972">
        <v>8</v>
      </c>
      <c r="M972">
        <v>161</v>
      </c>
      <c r="N972">
        <v>8</v>
      </c>
      <c r="O972" t="s">
        <v>2080</v>
      </c>
      <c r="P972" t="s">
        <v>38</v>
      </c>
      <c r="Q972">
        <v>0</v>
      </c>
      <c r="R972">
        <v>2</v>
      </c>
      <c r="S972" t="s">
        <v>2433</v>
      </c>
      <c r="T972" t="s">
        <v>1965</v>
      </c>
      <c r="U972" t="s">
        <v>1728</v>
      </c>
      <c r="V972" t="s">
        <v>939</v>
      </c>
      <c r="W972" t="s">
        <v>982</v>
      </c>
      <c r="X972" t="s">
        <v>2375</v>
      </c>
      <c r="Y972" t="s">
        <v>45</v>
      </c>
      <c r="Z972">
        <v>20</v>
      </c>
      <c r="AA972">
        <v>6</v>
      </c>
      <c r="AB972" t="s">
        <v>46</v>
      </c>
      <c r="AC972" t="s">
        <v>47</v>
      </c>
      <c r="AD972" t="s">
        <v>2434</v>
      </c>
      <c r="AE972" t="s">
        <v>2435</v>
      </c>
    </row>
    <row r="973" spans="1:31" x14ac:dyDescent="0.2">
      <c r="A973" t="s">
        <v>31</v>
      </c>
      <c r="B973">
        <v>2023</v>
      </c>
      <c r="C973">
        <v>22</v>
      </c>
      <c r="D973" s="1">
        <v>45032</v>
      </c>
      <c r="E973" t="s">
        <v>85</v>
      </c>
      <c r="F973" t="s">
        <v>2075</v>
      </c>
      <c r="G973" t="s">
        <v>36</v>
      </c>
      <c r="H973" t="s">
        <v>87</v>
      </c>
      <c r="I973" t="s">
        <v>87</v>
      </c>
      <c r="J973" t="s">
        <v>37</v>
      </c>
      <c r="K973">
        <v>185</v>
      </c>
      <c r="L973">
        <v>6</v>
      </c>
      <c r="M973">
        <v>186</v>
      </c>
      <c r="N973">
        <v>5</v>
      </c>
      <c r="O973" t="s">
        <v>87</v>
      </c>
      <c r="P973" t="s">
        <v>38</v>
      </c>
      <c r="Q973">
        <v>0</v>
      </c>
      <c r="R973">
        <v>5</v>
      </c>
      <c r="S973" t="s">
        <v>2199</v>
      </c>
      <c r="T973" t="s">
        <v>2425</v>
      </c>
      <c r="U973" t="s">
        <v>819</v>
      </c>
      <c r="V973" t="s">
        <v>1210</v>
      </c>
      <c r="W973" t="s">
        <v>455</v>
      </c>
      <c r="X973" t="s">
        <v>2380</v>
      </c>
      <c r="Y973" t="s">
        <v>45</v>
      </c>
      <c r="Z973">
        <v>20</v>
      </c>
      <c r="AA973">
        <v>6</v>
      </c>
      <c r="AB973" t="s">
        <v>46</v>
      </c>
      <c r="AC973" t="s">
        <v>47</v>
      </c>
      <c r="AD973" t="s">
        <v>2436</v>
      </c>
      <c r="AE973" t="s">
        <v>2437</v>
      </c>
    </row>
    <row r="974" spans="1:31" x14ac:dyDescent="0.2">
      <c r="A974" t="s">
        <v>31</v>
      </c>
      <c r="B974">
        <v>2023</v>
      </c>
      <c r="C974">
        <v>23</v>
      </c>
      <c r="D974" s="1">
        <v>45032</v>
      </c>
      <c r="E974" t="s">
        <v>458</v>
      </c>
      <c r="F974" t="s">
        <v>2115</v>
      </c>
      <c r="G974" t="s">
        <v>2214</v>
      </c>
      <c r="H974" t="s">
        <v>66</v>
      </c>
      <c r="I974" t="s">
        <v>66</v>
      </c>
      <c r="J974" t="s">
        <v>37</v>
      </c>
      <c r="K974">
        <v>177</v>
      </c>
      <c r="L974">
        <v>7</v>
      </c>
      <c r="M974">
        <v>179</v>
      </c>
      <c r="N974">
        <v>7</v>
      </c>
      <c r="O974" t="s">
        <v>66</v>
      </c>
      <c r="P974" t="s">
        <v>38</v>
      </c>
      <c r="Q974">
        <v>0</v>
      </c>
      <c r="R974">
        <v>3</v>
      </c>
      <c r="S974" t="s">
        <v>1935</v>
      </c>
      <c r="T974" t="s">
        <v>1772</v>
      </c>
      <c r="U974" t="s">
        <v>146</v>
      </c>
      <c r="V974" t="s">
        <v>1283</v>
      </c>
      <c r="W974" t="s">
        <v>969</v>
      </c>
      <c r="X974" t="s">
        <v>2386</v>
      </c>
      <c r="Y974" t="s">
        <v>45</v>
      </c>
      <c r="Z974">
        <v>20</v>
      </c>
      <c r="AA974">
        <v>6</v>
      </c>
      <c r="AB974" t="s">
        <v>46</v>
      </c>
      <c r="AC974" t="s">
        <v>47</v>
      </c>
      <c r="AD974" t="s">
        <v>2438</v>
      </c>
      <c r="AE974" t="s">
        <v>2439</v>
      </c>
    </row>
    <row r="975" spans="1:31" x14ac:dyDescent="0.2">
      <c r="A975" t="s">
        <v>31</v>
      </c>
      <c r="B975">
        <v>2023</v>
      </c>
      <c r="C975">
        <v>24</v>
      </c>
      <c r="D975" s="1">
        <v>45033</v>
      </c>
      <c r="E975" t="s">
        <v>1558</v>
      </c>
      <c r="F975" t="s">
        <v>2393</v>
      </c>
      <c r="G975" t="s">
        <v>53</v>
      </c>
      <c r="H975" t="s">
        <v>35</v>
      </c>
      <c r="I975" t="s">
        <v>35</v>
      </c>
      <c r="J975" t="s">
        <v>37</v>
      </c>
      <c r="K975">
        <v>226</v>
      </c>
      <c r="L975">
        <v>6</v>
      </c>
      <c r="M975">
        <v>218</v>
      </c>
      <c r="N975">
        <v>8</v>
      </c>
      <c r="O975" t="s">
        <v>53</v>
      </c>
      <c r="P975" t="s">
        <v>38</v>
      </c>
      <c r="Q975">
        <v>8</v>
      </c>
      <c r="R975">
        <v>0</v>
      </c>
      <c r="S975" t="s">
        <v>2335</v>
      </c>
      <c r="T975" t="s">
        <v>1461</v>
      </c>
      <c r="U975" t="s">
        <v>463</v>
      </c>
      <c r="V975" t="s">
        <v>1197</v>
      </c>
      <c r="W975" t="s">
        <v>2143</v>
      </c>
      <c r="X975" t="s">
        <v>2390</v>
      </c>
      <c r="Y975" t="s">
        <v>45</v>
      </c>
      <c r="Z975">
        <v>20</v>
      </c>
      <c r="AA975">
        <v>6</v>
      </c>
      <c r="AB975" t="s">
        <v>46</v>
      </c>
      <c r="AC975" t="s">
        <v>47</v>
      </c>
      <c r="AD975" t="s">
        <v>2440</v>
      </c>
      <c r="AE975" t="s">
        <v>2441</v>
      </c>
    </row>
    <row r="976" spans="1:31" x14ac:dyDescent="0.2">
      <c r="A976" t="s">
        <v>31</v>
      </c>
      <c r="B976">
        <v>2023</v>
      </c>
      <c r="C976">
        <v>25</v>
      </c>
      <c r="D976" s="1">
        <v>45034</v>
      </c>
      <c r="E976" t="s">
        <v>101</v>
      </c>
      <c r="F976" t="s">
        <v>2389</v>
      </c>
      <c r="G976" t="s">
        <v>87</v>
      </c>
      <c r="H976" t="s">
        <v>968</v>
      </c>
      <c r="I976" t="s">
        <v>968</v>
      </c>
      <c r="J976" t="s">
        <v>37</v>
      </c>
      <c r="K976">
        <v>192</v>
      </c>
      <c r="L976">
        <v>5</v>
      </c>
      <c r="M976">
        <v>178</v>
      </c>
      <c r="N976">
        <v>10</v>
      </c>
      <c r="O976" t="s">
        <v>87</v>
      </c>
      <c r="P976" t="s">
        <v>38</v>
      </c>
      <c r="Q976">
        <v>14</v>
      </c>
      <c r="R976">
        <v>0</v>
      </c>
      <c r="S976" t="s">
        <v>2442</v>
      </c>
      <c r="T976" t="s">
        <v>1965</v>
      </c>
      <c r="U976" t="s">
        <v>989</v>
      </c>
      <c r="V976" t="s">
        <v>2233</v>
      </c>
      <c r="W976" t="s">
        <v>939</v>
      </c>
      <c r="X976" t="s">
        <v>2375</v>
      </c>
      <c r="Y976" t="s">
        <v>45</v>
      </c>
      <c r="Z976">
        <v>20</v>
      </c>
      <c r="AA976">
        <v>6</v>
      </c>
      <c r="AB976" t="s">
        <v>46</v>
      </c>
      <c r="AC976" t="s">
        <v>47</v>
      </c>
      <c r="AD976" t="s">
        <v>2443</v>
      </c>
      <c r="AE976" t="s">
        <v>2444</v>
      </c>
    </row>
    <row r="977" spans="1:31" x14ac:dyDescent="0.2">
      <c r="A977" t="s">
        <v>31</v>
      </c>
      <c r="B977">
        <v>2023</v>
      </c>
      <c r="C977">
        <v>26</v>
      </c>
      <c r="D977" s="1">
        <v>45035</v>
      </c>
      <c r="E977" t="s">
        <v>95</v>
      </c>
      <c r="F977" t="s">
        <v>2445</v>
      </c>
      <c r="G977" t="s">
        <v>2213</v>
      </c>
      <c r="H977" t="s">
        <v>66</v>
      </c>
      <c r="I977" t="s">
        <v>66</v>
      </c>
      <c r="J977" t="s">
        <v>37</v>
      </c>
      <c r="K977">
        <v>154</v>
      </c>
      <c r="L977">
        <v>7</v>
      </c>
      <c r="M977">
        <v>144</v>
      </c>
      <c r="N977">
        <v>6</v>
      </c>
      <c r="O977" t="s">
        <v>2213</v>
      </c>
      <c r="P977" t="s">
        <v>38</v>
      </c>
      <c r="Q977">
        <v>10</v>
      </c>
      <c r="R977">
        <v>0</v>
      </c>
      <c r="S977" t="s">
        <v>1493</v>
      </c>
      <c r="T977" t="s">
        <v>2425</v>
      </c>
      <c r="U977" t="s">
        <v>455</v>
      </c>
      <c r="V977" t="s">
        <v>1417</v>
      </c>
      <c r="W977" t="s">
        <v>819</v>
      </c>
      <c r="X977" t="s">
        <v>2380</v>
      </c>
      <c r="Y977" t="s">
        <v>45</v>
      </c>
      <c r="Z977">
        <v>20</v>
      </c>
      <c r="AA977">
        <v>6</v>
      </c>
      <c r="AB977" t="s">
        <v>46</v>
      </c>
      <c r="AC977" t="s">
        <v>47</v>
      </c>
      <c r="AD977" t="s">
        <v>2446</v>
      </c>
      <c r="AE977" t="s">
        <v>2447</v>
      </c>
    </row>
    <row r="978" spans="1:31" x14ac:dyDescent="0.2">
      <c r="A978" t="s">
        <v>31</v>
      </c>
      <c r="B978">
        <v>2023</v>
      </c>
      <c r="C978">
        <v>27</v>
      </c>
      <c r="D978" s="1">
        <v>45036</v>
      </c>
      <c r="E978" t="s">
        <v>50</v>
      </c>
      <c r="F978" t="s">
        <v>2378</v>
      </c>
      <c r="G978" t="s">
        <v>35</v>
      </c>
      <c r="H978" t="s">
        <v>2080</v>
      </c>
      <c r="I978" t="s">
        <v>2080</v>
      </c>
      <c r="J978" t="s">
        <v>37</v>
      </c>
      <c r="K978">
        <v>174</v>
      </c>
      <c r="L978">
        <v>4</v>
      </c>
      <c r="M978">
        <v>150</v>
      </c>
      <c r="N978">
        <v>10</v>
      </c>
      <c r="O978" t="s">
        <v>35</v>
      </c>
      <c r="P978" t="s">
        <v>38</v>
      </c>
      <c r="Q978">
        <v>24</v>
      </c>
      <c r="R978">
        <v>0</v>
      </c>
      <c r="S978" t="s">
        <v>1661</v>
      </c>
      <c r="T978" t="s">
        <v>1772</v>
      </c>
      <c r="U978" t="s">
        <v>146</v>
      </c>
      <c r="V978" t="s">
        <v>1733</v>
      </c>
      <c r="W978" t="s">
        <v>1283</v>
      </c>
      <c r="X978" t="s">
        <v>2386</v>
      </c>
      <c r="Y978" t="s">
        <v>45</v>
      </c>
      <c r="Z978">
        <v>20</v>
      </c>
      <c r="AA978">
        <v>6</v>
      </c>
      <c r="AB978" t="s">
        <v>46</v>
      </c>
      <c r="AC978" t="s">
        <v>47</v>
      </c>
      <c r="AD978" t="s">
        <v>2448</v>
      </c>
      <c r="AE978" t="s">
        <v>2449</v>
      </c>
    </row>
    <row r="979" spans="1:31" x14ac:dyDescent="0.2">
      <c r="A979" t="s">
        <v>31</v>
      </c>
      <c r="B979">
        <v>2023</v>
      </c>
      <c r="C979">
        <v>28</v>
      </c>
      <c r="D979" s="1">
        <v>45036</v>
      </c>
      <c r="E979" t="s">
        <v>63</v>
      </c>
      <c r="F979" t="s">
        <v>2120</v>
      </c>
      <c r="G979" t="s">
        <v>36</v>
      </c>
      <c r="H979" t="s">
        <v>1820</v>
      </c>
      <c r="I979" t="s">
        <v>1820</v>
      </c>
      <c r="J979" t="s">
        <v>37</v>
      </c>
      <c r="K979">
        <v>127</v>
      </c>
      <c r="L979">
        <v>10</v>
      </c>
      <c r="M979">
        <v>128</v>
      </c>
      <c r="N979">
        <v>6</v>
      </c>
      <c r="O979" t="s">
        <v>1820</v>
      </c>
      <c r="P979" t="s">
        <v>38</v>
      </c>
      <c r="Q979">
        <v>0</v>
      </c>
      <c r="R979">
        <v>4</v>
      </c>
      <c r="S979" t="s">
        <v>684</v>
      </c>
      <c r="T979" t="s">
        <v>1461</v>
      </c>
      <c r="U979" t="s">
        <v>2143</v>
      </c>
      <c r="V979" t="s">
        <v>1193</v>
      </c>
      <c r="W979" t="s">
        <v>463</v>
      </c>
      <c r="X979" t="s">
        <v>2390</v>
      </c>
      <c r="Y979" t="s">
        <v>45</v>
      </c>
      <c r="Z979">
        <v>20</v>
      </c>
      <c r="AA979">
        <v>6</v>
      </c>
      <c r="AB979" t="s">
        <v>46</v>
      </c>
      <c r="AC979" t="s">
        <v>47</v>
      </c>
      <c r="AD979" t="s">
        <v>2450</v>
      </c>
      <c r="AE979" t="s">
        <v>2451</v>
      </c>
    </row>
    <row r="980" spans="1:31" x14ac:dyDescent="0.2">
      <c r="A980" t="s">
        <v>31</v>
      </c>
      <c r="B980">
        <v>2023</v>
      </c>
      <c r="C980">
        <v>29</v>
      </c>
      <c r="D980" s="1">
        <v>45037</v>
      </c>
      <c r="E980" t="s">
        <v>108</v>
      </c>
      <c r="F980" t="s">
        <v>2072</v>
      </c>
      <c r="G980" t="s">
        <v>968</v>
      </c>
      <c r="H980" t="s">
        <v>53</v>
      </c>
      <c r="I980" t="s">
        <v>53</v>
      </c>
      <c r="J980" t="s">
        <v>37</v>
      </c>
      <c r="K980">
        <v>134</v>
      </c>
      <c r="L980">
        <v>7</v>
      </c>
      <c r="M980">
        <v>138</v>
      </c>
      <c r="N980">
        <v>3</v>
      </c>
      <c r="O980" t="s">
        <v>53</v>
      </c>
      <c r="P980" t="s">
        <v>38</v>
      </c>
      <c r="Q980">
        <v>0</v>
      </c>
      <c r="R980">
        <v>7</v>
      </c>
      <c r="S980" t="s">
        <v>802</v>
      </c>
      <c r="T980" t="s">
        <v>1965</v>
      </c>
      <c r="U980" t="s">
        <v>1728</v>
      </c>
      <c r="V980" t="s">
        <v>939</v>
      </c>
      <c r="W980" t="s">
        <v>989</v>
      </c>
      <c r="X980" t="s">
        <v>2375</v>
      </c>
      <c r="Y980" t="s">
        <v>45</v>
      </c>
      <c r="Z980">
        <v>20</v>
      </c>
      <c r="AA980">
        <v>6</v>
      </c>
      <c r="AB980" t="s">
        <v>46</v>
      </c>
      <c r="AC980" t="s">
        <v>47</v>
      </c>
      <c r="AD980" t="s">
        <v>2452</v>
      </c>
      <c r="AE980" t="s">
        <v>2453</v>
      </c>
    </row>
    <row r="981" spans="1:31" x14ac:dyDescent="0.2">
      <c r="A981" t="s">
        <v>31</v>
      </c>
      <c r="B981">
        <v>2023</v>
      </c>
      <c r="C981">
        <v>30</v>
      </c>
      <c r="D981" s="1">
        <v>45038</v>
      </c>
      <c r="E981" t="s">
        <v>2383</v>
      </c>
      <c r="F981" t="s">
        <v>2384</v>
      </c>
      <c r="G981" t="s">
        <v>2214</v>
      </c>
      <c r="H981" t="s">
        <v>2213</v>
      </c>
      <c r="I981" t="s">
        <v>2214</v>
      </c>
      <c r="J981" t="s">
        <v>54</v>
      </c>
      <c r="K981">
        <v>135</v>
      </c>
      <c r="L981">
        <v>6</v>
      </c>
      <c r="M981">
        <v>128</v>
      </c>
      <c r="N981">
        <v>7</v>
      </c>
      <c r="O981" t="s">
        <v>2214</v>
      </c>
      <c r="P981" t="s">
        <v>38</v>
      </c>
      <c r="Q981">
        <v>7</v>
      </c>
      <c r="R981">
        <v>0</v>
      </c>
      <c r="S981" t="s">
        <v>1169</v>
      </c>
      <c r="T981" t="s">
        <v>2425</v>
      </c>
      <c r="U981" t="s">
        <v>2228</v>
      </c>
      <c r="V981" t="s">
        <v>656</v>
      </c>
      <c r="W981" t="s">
        <v>455</v>
      </c>
      <c r="X981" t="s">
        <v>2380</v>
      </c>
      <c r="Y981" t="s">
        <v>45</v>
      </c>
      <c r="Z981">
        <v>20</v>
      </c>
      <c r="AA981">
        <v>6</v>
      </c>
      <c r="AB981" t="s">
        <v>46</v>
      </c>
      <c r="AC981" t="s">
        <v>47</v>
      </c>
      <c r="AD981" t="s">
        <v>2454</v>
      </c>
      <c r="AE981" t="s">
        <v>2455</v>
      </c>
    </row>
    <row r="982" spans="1:31" x14ac:dyDescent="0.2">
      <c r="A982" t="s">
        <v>31</v>
      </c>
      <c r="B982">
        <v>2023</v>
      </c>
      <c r="C982">
        <v>31</v>
      </c>
      <c r="D982" s="1">
        <v>45038</v>
      </c>
      <c r="E982" t="s">
        <v>85</v>
      </c>
      <c r="F982" t="s">
        <v>2075</v>
      </c>
      <c r="G982" t="s">
        <v>2080</v>
      </c>
      <c r="H982" t="s">
        <v>87</v>
      </c>
      <c r="I982" t="s">
        <v>87</v>
      </c>
      <c r="J982" t="s">
        <v>37</v>
      </c>
      <c r="K982">
        <v>214</v>
      </c>
      <c r="L982">
        <v>8</v>
      </c>
      <c r="M982">
        <v>201</v>
      </c>
      <c r="N982">
        <v>6</v>
      </c>
      <c r="O982" t="s">
        <v>2080</v>
      </c>
      <c r="P982" t="s">
        <v>38</v>
      </c>
      <c r="Q982">
        <v>13</v>
      </c>
      <c r="R982">
        <v>0</v>
      </c>
      <c r="S982" t="s">
        <v>1843</v>
      </c>
      <c r="T982" t="s">
        <v>1772</v>
      </c>
      <c r="U982" t="s">
        <v>1283</v>
      </c>
      <c r="V982" t="s">
        <v>1733</v>
      </c>
      <c r="W982" t="s">
        <v>146</v>
      </c>
      <c r="X982" t="s">
        <v>2386</v>
      </c>
      <c r="Y982" t="s">
        <v>45</v>
      </c>
      <c r="Z982">
        <v>20</v>
      </c>
      <c r="AA982">
        <v>6</v>
      </c>
      <c r="AB982" t="s">
        <v>46</v>
      </c>
      <c r="AC982" t="s">
        <v>47</v>
      </c>
      <c r="AD982" t="s">
        <v>2456</v>
      </c>
      <c r="AE982" t="s">
        <v>2457</v>
      </c>
    </row>
    <row r="983" spans="1:31" x14ac:dyDescent="0.2">
      <c r="A983" t="s">
        <v>31</v>
      </c>
      <c r="B983">
        <v>2023</v>
      </c>
      <c r="C983">
        <v>32</v>
      </c>
      <c r="D983" s="1">
        <v>45039</v>
      </c>
      <c r="E983" t="s">
        <v>1558</v>
      </c>
      <c r="F983" t="s">
        <v>2393</v>
      </c>
      <c r="G983" t="s">
        <v>35</v>
      </c>
      <c r="H983" t="s">
        <v>66</v>
      </c>
      <c r="I983" t="s">
        <v>66</v>
      </c>
      <c r="J983" t="s">
        <v>37</v>
      </c>
      <c r="K983">
        <v>189</v>
      </c>
      <c r="L983">
        <v>9</v>
      </c>
      <c r="M983">
        <v>182</v>
      </c>
      <c r="N983">
        <v>6</v>
      </c>
      <c r="O983" t="s">
        <v>35</v>
      </c>
      <c r="P983" t="s">
        <v>38</v>
      </c>
      <c r="Q983">
        <v>7</v>
      </c>
      <c r="R983">
        <v>0</v>
      </c>
      <c r="S983" t="s">
        <v>1146</v>
      </c>
      <c r="T983" t="s">
        <v>1461</v>
      </c>
      <c r="U983" t="s">
        <v>2143</v>
      </c>
      <c r="V983" t="s">
        <v>2219</v>
      </c>
      <c r="W983" t="s">
        <v>1197</v>
      </c>
      <c r="X983" t="s">
        <v>2390</v>
      </c>
      <c r="Y983" t="s">
        <v>45</v>
      </c>
      <c r="Z983">
        <v>20</v>
      </c>
      <c r="AA983">
        <v>6</v>
      </c>
      <c r="AB983" t="s">
        <v>46</v>
      </c>
      <c r="AC983" t="s">
        <v>47</v>
      </c>
      <c r="AD983" t="s">
        <v>2458</v>
      </c>
      <c r="AE983" t="s">
        <v>2459</v>
      </c>
    </row>
    <row r="984" spans="1:31" x14ac:dyDescent="0.2">
      <c r="A984" t="s">
        <v>31</v>
      </c>
      <c r="B984">
        <v>2023</v>
      </c>
      <c r="C984">
        <v>33</v>
      </c>
      <c r="D984" s="1">
        <v>45039</v>
      </c>
      <c r="E984" t="s">
        <v>75</v>
      </c>
      <c r="F984" t="s">
        <v>2368</v>
      </c>
      <c r="G984" t="s">
        <v>53</v>
      </c>
      <c r="H984" t="s">
        <v>36</v>
      </c>
      <c r="I984" t="s">
        <v>36</v>
      </c>
      <c r="J984" t="s">
        <v>37</v>
      </c>
      <c r="K984">
        <v>235</v>
      </c>
      <c r="L984">
        <v>4</v>
      </c>
      <c r="M984">
        <v>186</v>
      </c>
      <c r="N984">
        <v>8</v>
      </c>
      <c r="O984" t="s">
        <v>53</v>
      </c>
      <c r="P984" t="s">
        <v>38</v>
      </c>
      <c r="Q984">
        <v>49</v>
      </c>
      <c r="R984">
        <v>0</v>
      </c>
      <c r="S984" t="s">
        <v>794</v>
      </c>
      <c r="T984" t="s">
        <v>1965</v>
      </c>
      <c r="U984" t="s">
        <v>989</v>
      </c>
      <c r="V984" t="s">
        <v>982</v>
      </c>
      <c r="W984" t="s">
        <v>939</v>
      </c>
      <c r="X984" t="s">
        <v>2375</v>
      </c>
      <c r="Y984" t="s">
        <v>45</v>
      </c>
      <c r="Z984">
        <v>20</v>
      </c>
      <c r="AA984">
        <v>6</v>
      </c>
      <c r="AB984" t="s">
        <v>46</v>
      </c>
      <c r="AC984" t="s">
        <v>47</v>
      </c>
      <c r="AD984" t="s">
        <v>2460</v>
      </c>
      <c r="AE984" t="s">
        <v>2461</v>
      </c>
    </row>
    <row r="985" spans="1:31" x14ac:dyDescent="0.2">
      <c r="A985" t="s">
        <v>31</v>
      </c>
      <c r="B985">
        <v>2023</v>
      </c>
      <c r="C985">
        <v>34</v>
      </c>
      <c r="D985" s="1">
        <v>45040</v>
      </c>
      <c r="E985" t="s">
        <v>101</v>
      </c>
      <c r="F985" t="s">
        <v>2389</v>
      </c>
      <c r="G985" t="s">
        <v>1820</v>
      </c>
      <c r="H985" t="s">
        <v>968</v>
      </c>
      <c r="I985" t="s">
        <v>1820</v>
      </c>
      <c r="J985" t="s">
        <v>54</v>
      </c>
      <c r="K985">
        <v>144</v>
      </c>
      <c r="L985">
        <v>9</v>
      </c>
      <c r="M985">
        <v>137</v>
      </c>
      <c r="N985">
        <v>6</v>
      </c>
      <c r="O985" t="s">
        <v>1820</v>
      </c>
      <c r="P985" t="s">
        <v>38</v>
      </c>
      <c r="Q985">
        <v>7</v>
      </c>
      <c r="R985">
        <v>0</v>
      </c>
      <c r="S985" t="s">
        <v>1243</v>
      </c>
      <c r="T985" t="s">
        <v>2425</v>
      </c>
      <c r="U985" t="s">
        <v>455</v>
      </c>
      <c r="V985" t="s">
        <v>656</v>
      </c>
      <c r="W985" t="s">
        <v>1210</v>
      </c>
      <c r="X985" t="s">
        <v>2380</v>
      </c>
      <c r="Y985" t="s">
        <v>45</v>
      </c>
      <c r="Z985">
        <v>20</v>
      </c>
      <c r="AA985">
        <v>6</v>
      </c>
      <c r="AB985" t="s">
        <v>46</v>
      </c>
      <c r="AC985" t="s">
        <v>47</v>
      </c>
      <c r="AD985" t="s">
        <v>2462</v>
      </c>
      <c r="AE985" t="s">
        <v>2463</v>
      </c>
    </row>
    <row r="986" spans="1:31" x14ac:dyDescent="0.2">
      <c r="A986" t="s">
        <v>31</v>
      </c>
      <c r="B986">
        <v>2023</v>
      </c>
      <c r="C986">
        <v>35</v>
      </c>
      <c r="D986" s="1">
        <v>45041</v>
      </c>
      <c r="E986" t="s">
        <v>458</v>
      </c>
      <c r="F986" t="s">
        <v>2115</v>
      </c>
      <c r="G986" t="s">
        <v>2214</v>
      </c>
      <c r="H986" t="s">
        <v>87</v>
      </c>
      <c r="I986" t="s">
        <v>87</v>
      </c>
      <c r="J986" t="s">
        <v>37</v>
      </c>
      <c r="K986">
        <v>207</v>
      </c>
      <c r="L986">
        <v>6</v>
      </c>
      <c r="M986">
        <v>152</v>
      </c>
      <c r="N986">
        <v>9</v>
      </c>
      <c r="O986" t="s">
        <v>2214</v>
      </c>
      <c r="P986" t="s">
        <v>38</v>
      </c>
      <c r="Q986">
        <v>55</v>
      </c>
      <c r="R986">
        <v>0</v>
      </c>
      <c r="S986" t="s">
        <v>2464</v>
      </c>
      <c r="T986" t="s">
        <v>2465</v>
      </c>
      <c r="U986" t="s">
        <v>146</v>
      </c>
      <c r="V986" t="s">
        <v>969</v>
      </c>
      <c r="W986" t="s">
        <v>1283</v>
      </c>
      <c r="X986" t="s">
        <v>2466</v>
      </c>
      <c r="Y986" t="s">
        <v>45</v>
      </c>
      <c r="Z986">
        <v>20</v>
      </c>
      <c r="AA986">
        <v>6</v>
      </c>
      <c r="AB986" t="s">
        <v>46</v>
      </c>
      <c r="AC986" t="s">
        <v>47</v>
      </c>
      <c r="AD986" t="s">
        <v>2467</v>
      </c>
      <c r="AE986" t="s">
        <v>2468</v>
      </c>
    </row>
    <row r="987" spans="1:31" x14ac:dyDescent="0.2">
      <c r="A987" t="s">
        <v>31</v>
      </c>
      <c r="B987">
        <v>2023</v>
      </c>
      <c r="C987">
        <v>36</v>
      </c>
      <c r="D987" s="1">
        <v>45042</v>
      </c>
      <c r="E987" t="s">
        <v>1558</v>
      </c>
      <c r="F987" t="s">
        <v>2393</v>
      </c>
      <c r="G987" t="s">
        <v>36</v>
      </c>
      <c r="H987" t="s">
        <v>35</v>
      </c>
      <c r="I987" t="s">
        <v>35</v>
      </c>
      <c r="J987" t="s">
        <v>37</v>
      </c>
      <c r="K987">
        <v>200</v>
      </c>
      <c r="L987">
        <v>5</v>
      </c>
      <c r="M987">
        <v>179</v>
      </c>
      <c r="N987">
        <v>8</v>
      </c>
      <c r="O987" t="s">
        <v>36</v>
      </c>
      <c r="P987" t="s">
        <v>38</v>
      </c>
      <c r="Q987">
        <v>21</v>
      </c>
      <c r="R987">
        <v>0</v>
      </c>
      <c r="S987" t="s">
        <v>2032</v>
      </c>
      <c r="T987" t="s">
        <v>1461</v>
      </c>
      <c r="U987" t="s">
        <v>463</v>
      </c>
      <c r="V987" t="s">
        <v>1193</v>
      </c>
      <c r="W987" t="s">
        <v>2143</v>
      </c>
      <c r="X987" t="s">
        <v>2390</v>
      </c>
      <c r="Y987" t="s">
        <v>45</v>
      </c>
      <c r="Z987">
        <v>20</v>
      </c>
      <c r="AA987">
        <v>6</v>
      </c>
      <c r="AB987" t="s">
        <v>46</v>
      </c>
      <c r="AC987" t="s">
        <v>47</v>
      </c>
      <c r="AD987" t="s">
        <v>2469</v>
      </c>
      <c r="AE987" t="s">
        <v>2458</v>
      </c>
    </row>
    <row r="988" spans="1:31" x14ac:dyDescent="0.2">
      <c r="A988" t="s">
        <v>31</v>
      </c>
      <c r="B988">
        <v>2023</v>
      </c>
      <c r="C988">
        <v>37</v>
      </c>
      <c r="D988" s="1">
        <v>45043</v>
      </c>
      <c r="E988" t="s">
        <v>95</v>
      </c>
      <c r="F988" t="s">
        <v>2445</v>
      </c>
      <c r="G988" t="s">
        <v>66</v>
      </c>
      <c r="H988" t="s">
        <v>53</v>
      </c>
      <c r="I988" t="s">
        <v>66</v>
      </c>
      <c r="J988" t="s">
        <v>54</v>
      </c>
      <c r="K988">
        <v>202</v>
      </c>
      <c r="L988">
        <v>5</v>
      </c>
      <c r="M988">
        <v>170</v>
      </c>
      <c r="N988">
        <v>6</v>
      </c>
      <c r="O988" t="s">
        <v>66</v>
      </c>
      <c r="P988" t="s">
        <v>38</v>
      </c>
      <c r="Q988">
        <v>32</v>
      </c>
      <c r="R988">
        <v>0</v>
      </c>
      <c r="S988" t="s">
        <v>2328</v>
      </c>
      <c r="T988" t="s">
        <v>1279</v>
      </c>
      <c r="U988" t="s">
        <v>2228</v>
      </c>
      <c r="V988" t="s">
        <v>1417</v>
      </c>
      <c r="W988" t="s">
        <v>656</v>
      </c>
      <c r="X988" t="s">
        <v>2470</v>
      </c>
      <c r="Y988" t="s">
        <v>45</v>
      </c>
      <c r="Z988">
        <v>20</v>
      </c>
      <c r="AA988">
        <v>6</v>
      </c>
      <c r="AB988" t="s">
        <v>46</v>
      </c>
      <c r="AC988" t="s">
        <v>47</v>
      </c>
      <c r="AD988" t="s">
        <v>2471</v>
      </c>
      <c r="AE988" t="s">
        <v>2472</v>
      </c>
    </row>
    <row r="989" spans="1:31" x14ac:dyDescent="0.2">
      <c r="A989" t="s">
        <v>31</v>
      </c>
      <c r="B989">
        <v>2023</v>
      </c>
      <c r="C989">
        <v>38</v>
      </c>
      <c r="D989" s="1">
        <v>45044</v>
      </c>
      <c r="E989" t="s">
        <v>50</v>
      </c>
      <c r="F989" t="s">
        <v>2378</v>
      </c>
      <c r="G989" t="s">
        <v>2213</v>
      </c>
      <c r="H989" t="s">
        <v>2080</v>
      </c>
      <c r="I989" t="s">
        <v>2080</v>
      </c>
      <c r="J989" t="s">
        <v>37</v>
      </c>
      <c r="K989">
        <v>257</v>
      </c>
      <c r="L989">
        <v>5</v>
      </c>
      <c r="M989">
        <v>201</v>
      </c>
      <c r="N989">
        <v>10</v>
      </c>
      <c r="O989" t="s">
        <v>2213</v>
      </c>
      <c r="P989" t="s">
        <v>38</v>
      </c>
      <c r="Q989">
        <v>56</v>
      </c>
      <c r="R989">
        <v>0</v>
      </c>
      <c r="S989" t="s">
        <v>1493</v>
      </c>
      <c r="T989" t="s">
        <v>1965</v>
      </c>
      <c r="U989" t="s">
        <v>989</v>
      </c>
      <c r="V989" t="s">
        <v>2233</v>
      </c>
      <c r="W989" t="s">
        <v>1728</v>
      </c>
      <c r="X989" t="s">
        <v>2473</v>
      </c>
      <c r="Y989" t="s">
        <v>45</v>
      </c>
      <c r="Z989">
        <v>20</v>
      </c>
      <c r="AA989">
        <v>6</v>
      </c>
      <c r="AB989" t="s">
        <v>46</v>
      </c>
      <c r="AC989" t="s">
        <v>47</v>
      </c>
      <c r="AD989" t="s">
        <v>2474</v>
      </c>
      <c r="AE989" t="s">
        <v>2475</v>
      </c>
    </row>
    <row r="990" spans="1:31" x14ac:dyDescent="0.2">
      <c r="A990" t="s">
        <v>31</v>
      </c>
      <c r="B990">
        <v>2023</v>
      </c>
      <c r="C990">
        <v>39</v>
      </c>
      <c r="D990" s="1">
        <v>45045</v>
      </c>
      <c r="E990" t="s">
        <v>75</v>
      </c>
      <c r="F990" t="s">
        <v>2368</v>
      </c>
      <c r="G990" t="s">
        <v>36</v>
      </c>
      <c r="H990" t="s">
        <v>2214</v>
      </c>
      <c r="I990" t="s">
        <v>2214</v>
      </c>
      <c r="J990" t="s">
        <v>37</v>
      </c>
      <c r="K990">
        <v>179</v>
      </c>
      <c r="L990">
        <v>7</v>
      </c>
      <c r="M990">
        <v>180</v>
      </c>
      <c r="N990">
        <v>3</v>
      </c>
      <c r="O990" t="s">
        <v>2214</v>
      </c>
      <c r="P990" t="s">
        <v>38</v>
      </c>
      <c r="Q990">
        <v>0</v>
      </c>
      <c r="R990">
        <v>7</v>
      </c>
      <c r="S990" t="s">
        <v>2476</v>
      </c>
      <c r="T990" t="s">
        <v>2465</v>
      </c>
      <c r="U990" t="s">
        <v>621</v>
      </c>
      <c r="V990" t="s">
        <v>1733</v>
      </c>
      <c r="W990" t="s">
        <v>1283</v>
      </c>
      <c r="X990" t="s">
        <v>2466</v>
      </c>
      <c r="Y990" t="s">
        <v>45</v>
      </c>
      <c r="Z990">
        <v>20</v>
      </c>
      <c r="AA990">
        <v>6</v>
      </c>
      <c r="AB990" t="s">
        <v>46</v>
      </c>
      <c r="AC990" t="s">
        <v>47</v>
      </c>
      <c r="AD990" t="s">
        <v>2477</v>
      </c>
      <c r="AE990" t="s">
        <v>2478</v>
      </c>
    </row>
    <row r="991" spans="1:31" x14ac:dyDescent="0.2">
      <c r="A991" t="s">
        <v>31</v>
      </c>
      <c r="B991">
        <v>2023</v>
      </c>
      <c r="C991">
        <v>40</v>
      </c>
      <c r="D991" s="1">
        <v>45045</v>
      </c>
      <c r="E991" t="s">
        <v>63</v>
      </c>
      <c r="F991" t="s">
        <v>2120</v>
      </c>
      <c r="G991" t="s">
        <v>968</v>
      </c>
      <c r="H991" t="s">
        <v>1820</v>
      </c>
      <c r="I991" t="s">
        <v>968</v>
      </c>
      <c r="J991" t="s">
        <v>54</v>
      </c>
      <c r="K991">
        <v>197</v>
      </c>
      <c r="L991">
        <v>6</v>
      </c>
      <c r="M991">
        <v>188</v>
      </c>
      <c r="N991">
        <v>6</v>
      </c>
      <c r="O991" t="s">
        <v>968</v>
      </c>
      <c r="P991" t="s">
        <v>38</v>
      </c>
      <c r="Q991">
        <v>9</v>
      </c>
      <c r="R991">
        <v>0</v>
      </c>
      <c r="S991" t="s">
        <v>729</v>
      </c>
      <c r="T991" t="s">
        <v>1553</v>
      </c>
      <c r="U991" t="s">
        <v>2143</v>
      </c>
      <c r="V991" t="s">
        <v>1197</v>
      </c>
      <c r="W991" t="s">
        <v>2219</v>
      </c>
      <c r="X991" t="s">
        <v>2479</v>
      </c>
      <c r="Y991" t="s">
        <v>45</v>
      </c>
      <c r="Z991">
        <v>20</v>
      </c>
      <c r="AA991">
        <v>6</v>
      </c>
      <c r="AB991" t="s">
        <v>46</v>
      </c>
      <c r="AC991" t="s">
        <v>47</v>
      </c>
      <c r="AD991" t="s">
        <v>2480</v>
      </c>
      <c r="AE991" t="s">
        <v>2481</v>
      </c>
    </row>
    <row r="992" spans="1:31" x14ac:dyDescent="0.2">
      <c r="A992" t="s">
        <v>31</v>
      </c>
      <c r="B992">
        <v>2023</v>
      </c>
      <c r="C992">
        <v>41</v>
      </c>
      <c r="D992" s="1">
        <v>45046</v>
      </c>
      <c r="E992" t="s">
        <v>108</v>
      </c>
      <c r="F992" t="s">
        <v>2072</v>
      </c>
      <c r="G992" t="s">
        <v>53</v>
      </c>
      <c r="H992" t="s">
        <v>2080</v>
      </c>
      <c r="I992" t="s">
        <v>53</v>
      </c>
      <c r="J992" t="s">
        <v>54</v>
      </c>
      <c r="K992">
        <v>200</v>
      </c>
      <c r="L992">
        <v>4</v>
      </c>
      <c r="M992">
        <v>201</v>
      </c>
      <c r="N992">
        <v>6</v>
      </c>
      <c r="O992" t="s">
        <v>2080</v>
      </c>
      <c r="P992" t="s">
        <v>38</v>
      </c>
      <c r="Q992">
        <v>0</v>
      </c>
      <c r="R992">
        <v>4</v>
      </c>
      <c r="S992" t="s">
        <v>2335</v>
      </c>
      <c r="T992" t="s">
        <v>1279</v>
      </c>
      <c r="U992" t="s">
        <v>656</v>
      </c>
      <c r="V992" t="s">
        <v>1210</v>
      </c>
      <c r="W992" t="s">
        <v>1417</v>
      </c>
      <c r="X992" t="s">
        <v>2470</v>
      </c>
      <c r="Y992" t="s">
        <v>45</v>
      </c>
      <c r="Z992">
        <v>20</v>
      </c>
      <c r="AA992">
        <v>6</v>
      </c>
      <c r="AB992" t="s">
        <v>46</v>
      </c>
      <c r="AC992" t="s">
        <v>47</v>
      </c>
      <c r="AD992" t="s">
        <v>2482</v>
      </c>
      <c r="AE992" t="s">
        <v>2483</v>
      </c>
    </row>
    <row r="993" spans="1:31" x14ac:dyDescent="0.2">
      <c r="A993" t="s">
        <v>31</v>
      </c>
      <c r="B993">
        <v>2023</v>
      </c>
      <c r="C993">
        <v>42</v>
      </c>
      <c r="D993" s="1">
        <v>45046</v>
      </c>
      <c r="E993" t="s">
        <v>85</v>
      </c>
      <c r="F993" t="s">
        <v>2075</v>
      </c>
      <c r="G993" t="s">
        <v>66</v>
      </c>
      <c r="H993" t="s">
        <v>87</v>
      </c>
      <c r="I993" t="s">
        <v>66</v>
      </c>
      <c r="J993" t="s">
        <v>54</v>
      </c>
      <c r="K993">
        <v>212</v>
      </c>
      <c r="L993">
        <v>7</v>
      </c>
      <c r="M993">
        <v>214</v>
      </c>
      <c r="N993">
        <v>4</v>
      </c>
      <c r="O993" t="s">
        <v>87</v>
      </c>
      <c r="P993" t="s">
        <v>38</v>
      </c>
      <c r="Q993">
        <v>0</v>
      </c>
      <c r="R993">
        <v>6</v>
      </c>
      <c r="S993" t="s">
        <v>2328</v>
      </c>
      <c r="T993" t="s">
        <v>40</v>
      </c>
      <c r="U993" t="s">
        <v>2233</v>
      </c>
      <c r="V993" t="s">
        <v>939</v>
      </c>
      <c r="W993" t="s">
        <v>982</v>
      </c>
      <c r="X993" t="s">
        <v>2473</v>
      </c>
      <c r="Y993" t="s">
        <v>45</v>
      </c>
      <c r="Z993">
        <v>20</v>
      </c>
      <c r="AA993">
        <v>6</v>
      </c>
      <c r="AB993" t="s">
        <v>46</v>
      </c>
      <c r="AC993" t="s">
        <v>47</v>
      </c>
      <c r="AD993" t="s">
        <v>2484</v>
      </c>
      <c r="AE993" t="s">
        <v>2485</v>
      </c>
    </row>
    <row r="994" spans="1:31" x14ac:dyDescent="0.2">
      <c r="A994" t="s">
        <v>31</v>
      </c>
      <c r="B994">
        <v>2023</v>
      </c>
      <c r="C994">
        <v>43</v>
      </c>
      <c r="D994" s="1">
        <v>45047</v>
      </c>
      <c r="E994" t="s">
        <v>2383</v>
      </c>
      <c r="F994" t="s">
        <v>2384</v>
      </c>
      <c r="G994" t="s">
        <v>35</v>
      </c>
      <c r="H994" t="s">
        <v>2213</v>
      </c>
      <c r="I994" t="s">
        <v>35</v>
      </c>
      <c r="J994" t="s">
        <v>54</v>
      </c>
      <c r="K994">
        <v>126</v>
      </c>
      <c r="L994">
        <v>9</v>
      </c>
      <c r="M994">
        <v>108</v>
      </c>
      <c r="N994">
        <v>10</v>
      </c>
      <c r="O994" t="s">
        <v>35</v>
      </c>
      <c r="P994" t="s">
        <v>38</v>
      </c>
      <c r="Q994">
        <v>18</v>
      </c>
      <c r="R994">
        <v>0</v>
      </c>
      <c r="S994" t="s">
        <v>822</v>
      </c>
      <c r="T994" t="s">
        <v>1772</v>
      </c>
      <c r="U994" t="s">
        <v>146</v>
      </c>
      <c r="V994" t="s">
        <v>1733</v>
      </c>
      <c r="W994" t="s">
        <v>969</v>
      </c>
      <c r="X994" t="s">
        <v>2466</v>
      </c>
      <c r="Y994" t="s">
        <v>45</v>
      </c>
      <c r="Z994">
        <v>20</v>
      </c>
      <c r="AA994">
        <v>6</v>
      </c>
      <c r="AB994" t="s">
        <v>46</v>
      </c>
      <c r="AC994" t="s">
        <v>47</v>
      </c>
      <c r="AD994" t="s">
        <v>2486</v>
      </c>
      <c r="AE994" t="s">
        <v>2487</v>
      </c>
    </row>
    <row r="995" spans="1:31" x14ac:dyDescent="0.2">
      <c r="A995" t="s">
        <v>31</v>
      </c>
      <c r="B995">
        <v>2023</v>
      </c>
      <c r="C995">
        <v>44</v>
      </c>
      <c r="D995" s="1">
        <v>45048</v>
      </c>
      <c r="E995" t="s">
        <v>458</v>
      </c>
      <c r="F995" t="s">
        <v>2115</v>
      </c>
      <c r="G995" t="s">
        <v>1820</v>
      </c>
      <c r="H995" t="s">
        <v>2214</v>
      </c>
      <c r="I995" t="s">
        <v>1820</v>
      </c>
      <c r="J995" t="s">
        <v>54</v>
      </c>
      <c r="K995">
        <v>130</v>
      </c>
      <c r="L995">
        <v>8</v>
      </c>
      <c r="M995">
        <v>125</v>
      </c>
      <c r="N995">
        <v>6</v>
      </c>
      <c r="O995" t="s">
        <v>1820</v>
      </c>
      <c r="P995" t="s">
        <v>38</v>
      </c>
      <c r="Q995">
        <v>5</v>
      </c>
      <c r="R995">
        <v>0</v>
      </c>
      <c r="S995" t="s">
        <v>1634</v>
      </c>
      <c r="T995" t="s">
        <v>1553</v>
      </c>
      <c r="U995" t="s">
        <v>2143</v>
      </c>
      <c r="V995" t="s">
        <v>1193</v>
      </c>
      <c r="W995" t="s">
        <v>463</v>
      </c>
      <c r="X995" t="s">
        <v>2479</v>
      </c>
      <c r="Y995" t="s">
        <v>45</v>
      </c>
      <c r="Z995">
        <v>20</v>
      </c>
      <c r="AA995">
        <v>6</v>
      </c>
      <c r="AB995" t="s">
        <v>46</v>
      </c>
      <c r="AC995" t="s">
        <v>47</v>
      </c>
      <c r="AD995" t="s">
        <v>2488</v>
      </c>
      <c r="AE995" t="s">
        <v>2478</v>
      </c>
    </row>
    <row r="996" spans="1:31" x14ac:dyDescent="0.2">
      <c r="A996" t="s">
        <v>31</v>
      </c>
      <c r="B996">
        <v>2023</v>
      </c>
      <c r="C996">
        <v>45</v>
      </c>
      <c r="D996" s="1">
        <v>45049</v>
      </c>
      <c r="E996" t="s">
        <v>2383</v>
      </c>
      <c r="F996" t="s">
        <v>2384</v>
      </c>
      <c r="G996" t="s">
        <v>2213</v>
      </c>
      <c r="H996" t="s">
        <v>53</v>
      </c>
      <c r="I996" t="s">
        <v>53</v>
      </c>
      <c r="J996" t="s">
        <v>37</v>
      </c>
      <c r="K996">
        <v>125</v>
      </c>
      <c r="L996">
        <v>7</v>
      </c>
      <c r="M996">
        <v>0</v>
      </c>
      <c r="N996">
        <v>0</v>
      </c>
      <c r="O996" t="s">
        <v>304</v>
      </c>
      <c r="P996" t="s">
        <v>766</v>
      </c>
      <c r="Q996">
        <v>0</v>
      </c>
      <c r="R996">
        <v>0</v>
      </c>
      <c r="S996" t="s">
        <v>304</v>
      </c>
      <c r="T996" t="s">
        <v>1772</v>
      </c>
      <c r="U996" t="s">
        <v>146</v>
      </c>
      <c r="V996" t="s">
        <v>621</v>
      </c>
      <c r="W996" t="s">
        <v>1283</v>
      </c>
      <c r="X996" t="s">
        <v>2466</v>
      </c>
      <c r="Y996" t="s">
        <v>45</v>
      </c>
      <c r="Z996">
        <v>20</v>
      </c>
      <c r="AA996">
        <v>6</v>
      </c>
      <c r="AB996" t="s">
        <v>46</v>
      </c>
      <c r="AC996" t="s">
        <v>47</v>
      </c>
      <c r="AD996" t="s">
        <v>2489</v>
      </c>
      <c r="AE996" t="s">
        <v>2490</v>
      </c>
    </row>
    <row r="997" spans="1:31" x14ac:dyDescent="0.2">
      <c r="A997" t="s">
        <v>31</v>
      </c>
      <c r="B997">
        <v>2023</v>
      </c>
      <c r="C997">
        <v>46</v>
      </c>
      <c r="D997" s="1">
        <v>45049</v>
      </c>
      <c r="E997" t="s">
        <v>50</v>
      </c>
      <c r="F997" t="s">
        <v>2378</v>
      </c>
      <c r="G997" t="s">
        <v>2080</v>
      </c>
      <c r="H997" t="s">
        <v>87</v>
      </c>
      <c r="I997" t="s">
        <v>87</v>
      </c>
      <c r="J997" t="s">
        <v>37</v>
      </c>
      <c r="K997">
        <v>214</v>
      </c>
      <c r="L997">
        <v>3</v>
      </c>
      <c r="M997">
        <v>216</v>
      </c>
      <c r="N997">
        <v>4</v>
      </c>
      <c r="O997" t="s">
        <v>87</v>
      </c>
      <c r="P997" t="s">
        <v>38</v>
      </c>
      <c r="Q997">
        <v>0</v>
      </c>
      <c r="R997">
        <v>6</v>
      </c>
      <c r="S997" t="s">
        <v>1771</v>
      </c>
      <c r="T997" t="s">
        <v>2491</v>
      </c>
      <c r="U997" t="s">
        <v>455</v>
      </c>
      <c r="V997" t="s">
        <v>656</v>
      </c>
      <c r="W997" t="s">
        <v>2228</v>
      </c>
      <c r="X997" t="s">
        <v>2470</v>
      </c>
      <c r="Y997" t="s">
        <v>45</v>
      </c>
      <c r="Z997">
        <v>20</v>
      </c>
      <c r="AA997">
        <v>6</v>
      </c>
      <c r="AB997" t="s">
        <v>46</v>
      </c>
      <c r="AC997" t="s">
        <v>47</v>
      </c>
      <c r="AD997" t="s">
        <v>2492</v>
      </c>
      <c r="AE997" t="s">
        <v>2493</v>
      </c>
    </row>
    <row r="998" spans="1:31" x14ac:dyDescent="0.2">
      <c r="A998" t="s">
        <v>31</v>
      </c>
      <c r="B998">
        <v>2023</v>
      </c>
      <c r="C998">
        <v>47</v>
      </c>
      <c r="D998" s="1">
        <v>45050</v>
      </c>
      <c r="E998" t="s">
        <v>101</v>
      </c>
      <c r="F998" t="s">
        <v>2389</v>
      </c>
      <c r="G998" t="s">
        <v>36</v>
      </c>
      <c r="H998" t="s">
        <v>968</v>
      </c>
      <c r="I998" t="s">
        <v>36</v>
      </c>
      <c r="J998" t="s">
        <v>54</v>
      </c>
      <c r="K998">
        <v>171</v>
      </c>
      <c r="L998">
        <v>9</v>
      </c>
      <c r="M998">
        <v>166</v>
      </c>
      <c r="N998">
        <v>8</v>
      </c>
      <c r="O998" t="s">
        <v>36</v>
      </c>
      <c r="P998" t="s">
        <v>38</v>
      </c>
      <c r="Q998">
        <v>5</v>
      </c>
      <c r="R998">
        <v>0</v>
      </c>
      <c r="S998" t="s">
        <v>2032</v>
      </c>
      <c r="T998" t="s">
        <v>1553</v>
      </c>
      <c r="U998" t="s">
        <v>463</v>
      </c>
      <c r="V998" t="s">
        <v>2143</v>
      </c>
      <c r="W998" t="s">
        <v>2219</v>
      </c>
      <c r="X998" t="s">
        <v>2479</v>
      </c>
      <c r="Y998" t="s">
        <v>45</v>
      </c>
      <c r="Z998">
        <v>20</v>
      </c>
      <c r="AA998">
        <v>6</v>
      </c>
      <c r="AB998" t="s">
        <v>46</v>
      </c>
      <c r="AC998" t="s">
        <v>47</v>
      </c>
      <c r="AD998" t="s">
        <v>2494</v>
      </c>
      <c r="AE998" t="s">
        <v>2495</v>
      </c>
    </row>
    <row r="999" spans="1:31" x14ac:dyDescent="0.2">
      <c r="A999" t="s">
        <v>31</v>
      </c>
      <c r="B999">
        <v>2023</v>
      </c>
      <c r="C999">
        <v>48</v>
      </c>
      <c r="D999" s="1">
        <v>45051</v>
      </c>
      <c r="E999" t="s">
        <v>95</v>
      </c>
      <c r="F999" t="s">
        <v>2445</v>
      </c>
      <c r="G999" t="s">
        <v>66</v>
      </c>
      <c r="H999" t="s">
        <v>2214</v>
      </c>
      <c r="I999" t="s">
        <v>66</v>
      </c>
      <c r="J999" t="s">
        <v>54</v>
      </c>
      <c r="K999">
        <v>118</v>
      </c>
      <c r="L999">
        <v>10</v>
      </c>
      <c r="M999">
        <v>119</v>
      </c>
      <c r="N999">
        <v>1</v>
      </c>
      <c r="O999" t="s">
        <v>2214</v>
      </c>
      <c r="P999" t="s">
        <v>38</v>
      </c>
      <c r="Q999">
        <v>0</v>
      </c>
      <c r="R999">
        <v>9</v>
      </c>
      <c r="S999" t="s">
        <v>1562</v>
      </c>
      <c r="T999" t="s">
        <v>40</v>
      </c>
      <c r="U999" t="s">
        <v>1728</v>
      </c>
      <c r="V999" t="s">
        <v>939</v>
      </c>
      <c r="W999" t="s">
        <v>989</v>
      </c>
      <c r="X999" t="s">
        <v>2473</v>
      </c>
      <c r="Y999" t="s">
        <v>45</v>
      </c>
      <c r="Z999">
        <v>20</v>
      </c>
      <c r="AA999">
        <v>6</v>
      </c>
      <c r="AB999" t="s">
        <v>46</v>
      </c>
      <c r="AC999" t="s">
        <v>47</v>
      </c>
      <c r="AD999" t="s">
        <v>2496</v>
      </c>
      <c r="AE999" t="s">
        <v>2497</v>
      </c>
    </row>
    <row r="1000" spans="1:31" x14ac:dyDescent="0.2">
      <c r="A1000" t="s">
        <v>31</v>
      </c>
      <c r="B1000">
        <v>2023</v>
      </c>
      <c r="C1000">
        <v>49</v>
      </c>
      <c r="D1000" s="1">
        <v>45052</v>
      </c>
      <c r="E1000" t="s">
        <v>108</v>
      </c>
      <c r="F1000" t="s">
        <v>2072</v>
      </c>
      <c r="G1000" t="s">
        <v>87</v>
      </c>
      <c r="H1000" t="s">
        <v>53</v>
      </c>
      <c r="I1000" t="s">
        <v>53</v>
      </c>
      <c r="J1000" t="s">
        <v>37</v>
      </c>
      <c r="K1000">
        <v>139</v>
      </c>
      <c r="L1000">
        <v>8</v>
      </c>
      <c r="M1000">
        <v>140</v>
      </c>
      <c r="N1000">
        <v>4</v>
      </c>
      <c r="O1000" t="s">
        <v>53</v>
      </c>
      <c r="P1000" t="s">
        <v>38</v>
      </c>
      <c r="Q1000">
        <v>0</v>
      </c>
      <c r="R1000">
        <v>6</v>
      </c>
      <c r="S1000" t="s">
        <v>2498</v>
      </c>
      <c r="T1000" t="s">
        <v>1553</v>
      </c>
      <c r="U1000" t="s">
        <v>819</v>
      </c>
      <c r="V1000" t="s">
        <v>1197</v>
      </c>
      <c r="W1000" t="s">
        <v>463</v>
      </c>
      <c r="X1000" t="s">
        <v>2479</v>
      </c>
      <c r="Y1000" t="s">
        <v>45</v>
      </c>
      <c r="Z1000">
        <v>20</v>
      </c>
      <c r="AA1000">
        <v>6</v>
      </c>
      <c r="AB1000" t="s">
        <v>46</v>
      </c>
      <c r="AC1000" t="s">
        <v>47</v>
      </c>
      <c r="AD1000" t="s">
        <v>2499</v>
      </c>
      <c r="AE1000" t="s">
        <v>2500</v>
      </c>
    </row>
    <row r="1001" spans="1:31" x14ac:dyDescent="0.2">
      <c r="A1001" t="s">
        <v>31</v>
      </c>
      <c r="B1001">
        <v>2023</v>
      </c>
      <c r="C1001">
        <v>50</v>
      </c>
      <c r="D1001" s="1">
        <v>45052</v>
      </c>
      <c r="E1001" t="s">
        <v>63</v>
      </c>
      <c r="F1001" t="s">
        <v>2120</v>
      </c>
      <c r="G1001" t="s">
        <v>35</v>
      </c>
      <c r="H1001" t="s">
        <v>1820</v>
      </c>
      <c r="I1001" t="s">
        <v>35</v>
      </c>
      <c r="J1001" t="s">
        <v>54</v>
      </c>
      <c r="K1001">
        <v>181</v>
      </c>
      <c r="L1001">
        <v>4</v>
      </c>
      <c r="M1001">
        <v>187</v>
      </c>
      <c r="N1001">
        <v>3</v>
      </c>
      <c r="O1001" t="s">
        <v>1820</v>
      </c>
      <c r="P1001" t="s">
        <v>38</v>
      </c>
      <c r="Q1001">
        <v>0</v>
      </c>
      <c r="R1001">
        <v>7</v>
      </c>
      <c r="S1001" t="s">
        <v>2501</v>
      </c>
      <c r="T1001" t="s">
        <v>1279</v>
      </c>
      <c r="U1001" t="s">
        <v>656</v>
      </c>
      <c r="V1001" t="s">
        <v>1417</v>
      </c>
      <c r="W1001" t="s">
        <v>455</v>
      </c>
      <c r="X1001" t="s">
        <v>2470</v>
      </c>
      <c r="Y1001" t="s">
        <v>45</v>
      </c>
      <c r="Z1001">
        <v>20</v>
      </c>
      <c r="AA1001">
        <v>6</v>
      </c>
      <c r="AB1001" t="s">
        <v>46</v>
      </c>
      <c r="AC1001" t="s">
        <v>47</v>
      </c>
      <c r="AD1001" t="s">
        <v>2502</v>
      </c>
      <c r="AE1001" t="s">
        <v>2503</v>
      </c>
    </row>
    <row r="1002" spans="1:31" x14ac:dyDescent="0.2">
      <c r="A1002" t="s">
        <v>31</v>
      </c>
      <c r="B1002">
        <v>2023</v>
      </c>
      <c r="C1002">
        <v>51</v>
      </c>
      <c r="D1002" s="1">
        <v>45053</v>
      </c>
      <c r="E1002" t="s">
        <v>458</v>
      </c>
      <c r="F1002" t="s">
        <v>2115</v>
      </c>
      <c r="G1002" t="s">
        <v>2214</v>
      </c>
      <c r="H1002" t="s">
        <v>2213</v>
      </c>
      <c r="I1002" t="s">
        <v>2213</v>
      </c>
      <c r="J1002" t="s">
        <v>37</v>
      </c>
      <c r="K1002">
        <v>227</v>
      </c>
      <c r="L1002">
        <v>2</v>
      </c>
      <c r="M1002">
        <v>171</v>
      </c>
      <c r="N1002">
        <v>7</v>
      </c>
      <c r="O1002" t="s">
        <v>2214</v>
      </c>
      <c r="P1002" t="s">
        <v>38</v>
      </c>
      <c r="Q1002">
        <v>56</v>
      </c>
      <c r="R1002">
        <v>0</v>
      </c>
      <c r="S1002" t="s">
        <v>1930</v>
      </c>
      <c r="T1002" t="s">
        <v>1772</v>
      </c>
      <c r="U1002" t="s">
        <v>146</v>
      </c>
      <c r="V1002" t="s">
        <v>969</v>
      </c>
      <c r="W1002" t="s">
        <v>1283</v>
      </c>
      <c r="X1002" t="s">
        <v>2466</v>
      </c>
      <c r="Y1002" t="s">
        <v>45</v>
      </c>
      <c r="Z1002">
        <v>20</v>
      </c>
      <c r="AA1002">
        <v>6</v>
      </c>
      <c r="AB1002" t="s">
        <v>46</v>
      </c>
      <c r="AC1002" t="s">
        <v>47</v>
      </c>
      <c r="AD1002" t="s">
        <v>2504</v>
      </c>
      <c r="AE1002" t="s">
        <v>2505</v>
      </c>
    </row>
    <row r="1003" spans="1:31" x14ac:dyDescent="0.2">
      <c r="A1003" t="s">
        <v>31</v>
      </c>
      <c r="B1003">
        <v>2023</v>
      </c>
      <c r="C1003">
        <v>52</v>
      </c>
      <c r="D1003" s="1">
        <v>45053</v>
      </c>
      <c r="E1003" t="s">
        <v>95</v>
      </c>
      <c r="F1003" t="s">
        <v>2445</v>
      </c>
      <c r="G1003" t="s">
        <v>66</v>
      </c>
      <c r="H1003" t="s">
        <v>968</v>
      </c>
      <c r="I1003" t="s">
        <v>66</v>
      </c>
      <c r="J1003" t="s">
        <v>54</v>
      </c>
      <c r="K1003">
        <v>214</v>
      </c>
      <c r="L1003">
        <v>2</v>
      </c>
      <c r="M1003">
        <v>217</v>
      </c>
      <c r="N1003">
        <v>6</v>
      </c>
      <c r="O1003" t="s">
        <v>968</v>
      </c>
      <c r="P1003" t="s">
        <v>38</v>
      </c>
      <c r="Q1003">
        <v>0</v>
      </c>
      <c r="R1003">
        <v>4</v>
      </c>
      <c r="S1003" t="s">
        <v>2506</v>
      </c>
      <c r="T1003" t="s">
        <v>40</v>
      </c>
      <c r="U1003" t="s">
        <v>989</v>
      </c>
      <c r="V1003" t="s">
        <v>2233</v>
      </c>
      <c r="W1003" t="s">
        <v>939</v>
      </c>
      <c r="X1003" t="s">
        <v>2473</v>
      </c>
      <c r="Y1003" t="s">
        <v>45</v>
      </c>
      <c r="Z1003">
        <v>20</v>
      </c>
      <c r="AA1003">
        <v>6</v>
      </c>
      <c r="AB1003" t="s">
        <v>46</v>
      </c>
      <c r="AC1003" t="s">
        <v>47</v>
      </c>
      <c r="AD1003" t="s">
        <v>2507</v>
      </c>
      <c r="AE1003" t="s">
        <v>2508</v>
      </c>
    </row>
    <row r="1004" spans="1:31" x14ac:dyDescent="0.2">
      <c r="A1004" t="s">
        <v>31</v>
      </c>
      <c r="B1004">
        <v>2023</v>
      </c>
      <c r="C1004">
        <v>53</v>
      </c>
      <c r="D1004" s="1">
        <v>45054</v>
      </c>
      <c r="E1004" t="s">
        <v>75</v>
      </c>
      <c r="F1004" t="s">
        <v>2368</v>
      </c>
      <c r="G1004" t="s">
        <v>2080</v>
      </c>
      <c r="H1004" t="s">
        <v>36</v>
      </c>
      <c r="I1004" t="s">
        <v>2080</v>
      </c>
      <c r="J1004" t="s">
        <v>54</v>
      </c>
      <c r="K1004">
        <v>179</v>
      </c>
      <c r="L1004">
        <v>7</v>
      </c>
      <c r="M1004">
        <v>182</v>
      </c>
      <c r="N1004">
        <v>5</v>
      </c>
      <c r="O1004" t="s">
        <v>36</v>
      </c>
      <c r="P1004" t="s">
        <v>38</v>
      </c>
      <c r="Q1004">
        <v>0</v>
      </c>
      <c r="R1004">
        <v>5</v>
      </c>
      <c r="S1004" t="s">
        <v>1308</v>
      </c>
      <c r="T1004" t="s">
        <v>2491</v>
      </c>
      <c r="U1004" t="s">
        <v>2228</v>
      </c>
      <c r="V1004" t="s">
        <v>455</v>
      </c>
      <c r="W1004" t="s">
        <v>1210</v>
      </c>
      <c r="X1004" t="s">
        <v>2470</v>
      </c>
      <c r="Y1004" t="s">
        <v>45</v>
      </c>
      <c r="Z1004">
        <v>20</v>
      </c>
      <c r="AA1004">
        <v>6</v>
      </c>
      <c r="AB1004" t="s">
        <v>46</v>
      </c>
      <c r="AC1004" t="s">
        <v>47</v>
      </c>
      <c r="AD1004" t="s">
        <v>2509</v>
      </c>
      <c r="AE1004" t="s">
        <v>2510</v>
      </c>
    </row>
    <row r="1005" spans="1:31" x14ac:dyDescent="0.2">
      <c r="A1005" t="s">
        <v>31</v>
      </c>
      <c r="B1005">
        <v>2023</v>
      </c>
      <c r="C1005">
        <v>54</v>
      </c>
      <c r="D1005" s="1">
        <v>45055</v>
      </c>
      <c r="E1005" t="s">
        <v>85</v>
      </c>
      <c r="F1005" t="s">
        <v>2075</v>
      </c>
      <c r="G1005" t="s">
        <v>35</v>
      </c>
      <c r="H1005" t="s">
        <v>87</v>
      </c>
      <c r="I1005" t="s">
        <v>87</v>
      </c>
      <c r="J1005" t="s">
        <v>37</v>
      </c>
      <c r="K1005">
        <v>199</v>
      </c>
      <c r="L1005">
        <v>6</v>
      </c>
      <c r="M1005">
        <v>200</v>
      </c>
      <c r="N1005">
        <v>4</v>
      </c>
      <c r="O1005" t="s">
        <v>87</v>
      </c>
      <c r="P1005" t="s">
        <v>38</v>
      </c>
      <c r="Q1005">
        <v>0</v>
      </c>
      <c r="R1005">
        <v>6</v>
      </c>
      <c r="S1005" t="s">
        <v>1455</v>
      </c>
      <c r="T1005" t="s">
        <v>2511</v>
      </c>
      <c r="U1005" t="s">
        <v>1728</v>
      </c>
      <c r="V1005" t="s">
        <v>939</v>
      </c>
      <c r="W1005" t="s">
        <v>989</v>
      </c>
      <c r="X1005" t="s">
        <v>2473</v>
      </c>
      <c r="Y1005" t="s">
        <v>45</v>
      </c>
      <c r="Z1005">
        <v>20</v>
      </c>
      <c r="AA1005">
        <v>6</v>
      </c>
      <c r="AB1005" t="s">
        <v>46</v>
      </c>
      <c r="AC1005" t="s">
        <v>47</v>
      </c>
      <c r="AD1005" t="s">
        <v>2512</v>
      </c>
      <c r="AE1005" t="s">
        <v>2513</v>
      </c>
    </row>
    <row r="1006" spans="1:31" x14ac:dyDescent="0.2">
      <c r="A1006" t="s">
        <v>31</v>
      </c>
      <c r="B1006">
        <v>2023</v>
      </c>
      <c r="C1006">
        <v>55</v>
      </c>
      <c r="D1006" s="1">
        <v>45056</v>
      </c>
      <c r="E1006" t="s">
        <v>108</v>
      </c>
      <c r="F1006" t="s">
        <v>2072</v>
      </c>
      <c r="G1006" t="s">
        <v>53</v>
      </c>
      <c r="H1006" t="s">
        <v>1820</v>
      </c>
      <c r="I1006" t="s">
        <v>53</v>
      </c>
      <c r="J1006" t="s">
        <v>54</v>
      </c>
      <c r="K1006">
        <v>167</v>
      </c>
      <c r="L1006">
        <v>8</v>
      </c>
      <c r="M1006">
        <v>140</v>
      </c>
      <c r="N1006">
        <v>8</v>
      </c>
      <c r="O1006" t="s">
        <v>53</v>
      </c>
      <c r="P1006" t="s">
        <v>38</v>
      </c>
      <c r="Q1006">
        <v>27</v>
      </c>
      <c r="R1006">
        <v>0</v>
      </c>
      <c r="S1006" t="s">
        <v>802</v>
      </c>
      <c r="T1006" t="s">
        <v>2514</v>
      </c>
      <c r="U1006" t="s">
        <v>1283</v>
      </c>
      <c r="V1006" t="s">
        <v>621</v>
      </c>
      <c r="W1006" t="s">
        <v>146</v>
      </c>
      <c r="X1006" t="s">
        <v>2466</v>
      </c>
      <c r="Y1006" t="s">
        <v>45</v>
      </c>
      <c r="Z1006">
        <v>20</v>
      </c>
      <c r="AA1006">
        <v>6</v>
      </c>
      <c r="AB1006" t="s">
        <v>46</v>
      </c>
      <c r="AC1006" t="s">
        <v>47</v>
      </c>
      <c r="AD1006" t="s">
        <v>2515</v>
      </c>
      <c r="AE1006" t="s">
        <v>2516</v>
      </c>
    </row>
    <row r="1007" spans="1:31" x14ac:dyDescent="0.2">
      <c r="A1007" t="s">
        <v>31</v>
      </c>
      <c r="B1007">
        <v>2023</v>
      </c>
      <c r="C1007">
        <v>56</v>
      </c>
      <c r="D1007" s="1">
        <v>45057</v>
      </c>
      <c r="E1007" t="s">
        <v>75</v>
      </c>
      <c r="F1007" t="s">
        <v>2368</v>
      </c>
      <c r="G1007" t="s">
        <v>36</v>
      </c>
      <c r="H1007" t="s">
        <v>66</v>
      </c>
      <c r="I1007" t="s">
        <v>66</v>
      </c>
      <c r="J1007" t="s">
        <v>37</v>
      </c>
      <c r="K1007">
        <v>149</v>
      </c>
      <c r="L1007">
        <v>8</v>
      </c>
      <c r="M1007">
        <v>151</v>
      </c>
      <c r="N1007">
        <v>1</v>
      </c>
      <c r="O1007" t="s">
        <v>66</v>
      </c>
      <c r="P1007" t="s">
        <v>38</v>
      </c>
      <c r="Q1007">
        <v>0</v>
      </c>
      <c r="R1007">
        <v>9</v>
      </c>
      <c r="S1007" t="s">
        <v>2328</v>
      </c>
      <c r="T1007" t="s">
        <v>2517</v>
      </c>
      <c r="U1007" t="s">
        <v>656</v>
      </c>
      <c r="V1007" t="s">
        <v>2219</v>
      </c>
      <c r="W1007" t="s">
        <v>1193</v>
      </c>
      <c r="X1007" t="s">
        <v>2479</v>
      </c>
      <c r="Y1007" t="s">
        <v>45</v>
      </c>
      <c r="Z1007">
        <v>20</v>
      </c>
      <c r="AA1007">
        <v>6</v>
      </c>
      <c r="AB1007" t="s">
        <v>46</v>
      </c>
      <c r="AC1007" t="s">
        <v>47</v>
      </c>
      <c r="AD1007" t="s">
        <v>2518</v>
      </c>
      <c r="AE1007" t="s">
        <v>2519</v>
      </c>
    </row>
    <row r="1008" spans="1:31" x14ac:dyDescent="0.2">
      <c r="A1008" t="s">
        <v>31</v>
      </c>
      <c r="B1008">
        <v>2023</v>
      </c>
      <c r="C1008">
        <v>57</v>
      </c>
      <c r="D1008" s="1">
        <v>45058</v>
      </c>
      <c r="E1008" t="s">
        <v>85</v>
      </c>
      <c r="F1008" t="s">
        <v>2075</v>
      </c>
      <c r="G1008" t="s">
        <v>87</v>
      </c>
      <c r="H1008" t="s">
        <v>2214</v>
      </c>
      <c r="I1008" t="s">
        <v>2214</v>
      </c>
      <c r="J1008" t="s">
        <v>37</v>
      </c>
      <c r="K1008">
        <v>218</v>
      </c>
      <c r="L1008">
        <v>5</v>
      </c>
      <c r="M1008">
        <v>191</v>
      </c>
      <c r="N1008">
        <v>8</v>
      </c>
      <c r="O1008" t="s">
        <v>87</v>
      </c>
      <c r="P1008" t="s">
        <v>38</v>
      </c>
      <c r="Q1008">
        <v>27</v>
      </c>
      <c r="R1008">
        <v>0</v>
      </c>
      <c r="S1008" t="s">
        <v>1455</v>
      </c>
      <c r="T1008" t="s">
        <v>2511</v>
      </c>
      <c r="U1008" t="s">
        <v>989</v>
      </c>
      <c r="V1008" t="s">
        <v>982</v>
      </c>
      <c r="W1008" t="s">
        <v>2233</v>
      </c>
      <c r="X1008" t="s">
        <v>2473</v>
      </c>
      <c r="Y1008" t="s">
        <v>45</v>
      </c>
      <c r="Z1008">
        <v>20</v>
      </c>
      <c r="AA1008">
        <v>6</v>
      </c>
      <c r="AB1008" t="s">
        <v>46</v>
      </c>
      <c r="AC1008" t="s">
        <v>47</v>
      </c>
      <c r="AD1008" t="s">
        <v>2520</v>
      </c>
      <c r="AE1008" t="s">
        <v>2521</v>
      </c>
    </row>
    <row r="1009" spans="1:31" x14ac:dyDescent="0.2">
      <c r="A1009" t="s">
        <v>31</v>
      </c>
      <c r="B1009">
        <v>2023</v>
      </c>
      <c r="C1009">
        <v>58</v>
      </c>
      <c r="D1009" s="1">
        <v>45059</v>
      </c>
      <c r="E1009" t="s">
        <v>101</v>
      </c>
      <c r="F1009" t="s">
        <v>2389</v>
      </c>
      <c r="G1009" t="s">
        <v>968</v>
      </c>
      <c r="H1009" t="s">
        <v>2213</v>
      </c>
      <c r="I1009" t="s">
        <v>968</v>
      </c>
      <c r="J1009" t="s">
        <v>54</v>
      </c>
      <c r="K1009">
        <v>182</v>
      </c>
      <c r="L1009">
        <v>6</v>
      </c>
      <c r="M1009">
        <v>185</v>
      </c>
      <c r="N1009">
        <v>3</v>
      </c>
      <c r="O1009" t="s">
        <v>2213</v>
      </c>
      <c r="P1009" t="s">
        <v>38</v>
      </c>
      <c r="Q1009">
        <v>0</v>
      </c>
      <c r="R1009">
        <v>7</v>
      </c>
      <c r="S1009" t="s">
        <v>2522</v>
      </c>
      <c r="T1009" t="s">
        <v>2517</v>
      </c>
      <c r="U1009" t="s">
        <v>2228</v>
      </c>
      <c r="V1009" t="s">
        <v>455</v>
      </c>
      <c r="W1009" t="s">
        <v>1417</v>
      </c>
      <c r="X1009" t="s">
        <v>2470</v>
      </c>
      <c r="Y1009" t="s">
        <v>45</v>
      </c>
      <c r="Z1009">
        <v>20</v>
      </c>
      <c r="AA1009">
        <v>6</v>
      </c>
      <c r="AB1009" t="s">
        <v>46</v>
      </c>
      <c r="AC1009" t="s">
        <v>47</v>
      </c>
      <c r="AD1009" t="s">
        <v>2523</v>
      </c>
      <c r="AE1009" t="s">
        <v>2524</v>
      </c>
    </row>
    <row r="1010" spans="1:31" x14ac:dyDescent="0.2">
      <c r="A1010" t="s">
        <v>31</v>
      </c>
      <c r="B1010">
        <v>2023</v>
      </c>
      <c r="C1010">
        <v>59</v>
      </c>
      <c r="D1010" s="1">
        <v>45059</v>
      </c>
      <c r="E1010" t="s">
        <v>63</v>
      </c>
      <c r="F1010" t="s">
        <v>2120</v>
      </c>
      <c r="G1010" t="s">
        <v>2080</v>
      </c>
      <c r="H1010" t="s">
        <v>1820</v>
      </c>
      <c r="I1010" t="s">
        <v>1820</v>
      </c>
      <c r="J1010" t="s">
        <v>37</v>
      </c>
      <c r="K1010">
        <v>167</v>
      </c>
      <c r="L1010">
        <v>7</v>
      </c>
      <c r="M1010">
        <v>136</v>
      </c>
      <c r="N1010">
        <v>8</v>
      </c>
      <c r="O1010" t="s">
        <v>2080</v>
      </c>
      <c r="P1010" t="s">
        <v>38</v>
      </c>
      <c r="Q1010">
        <v>31</v>
      </c>
      <c r="R1010">
        <v>0</v>
      </c>
      <c r="S1010" t="s">
        <v>2525</v>
      </c>
      <c r="T1010" t="s">
        <v>2514</v>
      </c>
      <c r="U1010" t="s">
        <v>1283</v>
      </c>
      <c r="V1010" t="s">
        <v>621</v>
      </c>
      <c r="W1010" t="s">
        <v>1733</v>
      </c>
      <c r="X1010" t="s">
        <v>2466</v>
      </c>
      <c r="Y1010" t="s">
        <v>45</v>
      </c>
      <c r="Z1010">
        <v>20</v>
      </c>
      <c r="AA1010">
        <v>6</v>
      </c>
      <c r="AB1010" t="s">
        <v>46</v>
      </c>
      <c r="AC1010" t="s">
        <v>47</v>
      </c>
      <c r="AD1010" t="s">
        <v>2526</v>
      </c>
      <c r="AE1010" t="s">
        <v>2527</v>
      </c>
    </row>
    <row r="1011" spans="1:31" x14ac:dyDescent="0.2">
      <c r="A1011" t="s">
        <v>31</v>
      </c>
      <c r="B1011">
        <v>2023</v>
      </c>
      <c r="C1011">
        <v>60</v>
      </c>
      <c r="D1011" s="1">
        <v>45060</v>
      </c>
      <c r="E1011" t="s">
        <v>95</v>
      </c>
      <c r="F1011" t="s">
        <v>2445</v>
      </c>
      <c r="G1011" t="s">
        <v>35</v>
      </c>
      <c r="H1011" t="s">
        <v>66</v>
      </c>
      <c r="I1011" t="s">
        <v>35</v>
      </c>
      <c r="J1011" t="s">
        <v>54</v>
      </c>
      <c r="K1011">
        <v>171</v>
      </c>
      <c r="L1011">
        <v>5</v>
      </c>
      <c r="M1011">
        <v>59</v>
      </c>
      <c r="N1011">
        <v>10</v>
      </c>
      <c r="O1011" t="s">
        <v>35</v>
      </c>
      <c r="P1011" t="s">
        <v>38</v>
      </c>
      <c r="Q1011">
        <v>112</v>
      </c>
      <c r="R1011">
        <v>0</v>
      </c>
      <c r="S1011" t="s">
        <v>2528</v>
      </c>
      <c r="T1011" t="s">
        <v>1553</v>
      </c>
      <c r="U1011" t="s">
        <v>463</v>
      </c>
      <c r="V1011" t="s">
        <v>1197</v>
      </c>
      <c r="W1011" t="s">
        <v>656</v>
      </c>
      <c r="X1011" t="s">
        <v>2479</v>
      </c>
      <c r="Y1011" t="s">
        <v>45</v>
      </c>
      <c r="Z1011">
        <v>20</v>
      </c>
      <c r="AA1011">
        <v>6</v>
      </c>
      <c r="AB1011" t="s">
        <v>46</v>
      </c>
      <c r="AC1011" t="s">
        <v>47</v>
      </c>
      <c r="AD1011" t="s">
        <v>2529</v>
      </c>
      <c r="AE1011" t="s">
        <v>2530</v>
      </c>
    </row>
    <row r="1012" spans="1:31" x14ac:dyDescent="0.2">
      <c r="A1012" t="s">
        <v>31</v>
      </c>
      <c r="B1012">
        <v>2023</v>
      </c>
      <c r="C1012">
        <v>61</v>
      </c>
      <c r="D1012" s="1">
        <v>45060</v>
      </c>
      <c r="E1012" t="s">
        <v>108</v>
      </c>
      <c r="F1012" t="s">
        <v>2072</v>
      </c>
      <c r="G1012" t="s">
        <v>53</v>
      </c>
      <c r="H1012" t="s">
        <v>36</v>
      </c>
      <c r="I1012" t="s">
        <v>53</v>
      </c>
      <c r="J1012" t="s">
        <v>54</v>
      </c>
      <c r="K1012">
        <v>144</v>
      </c>
      <c r="L1012">
        <v>6</v>
      </c>
      <c r="M1012">
        <v>147</v>
      </c>
      <c r="N1012">
        <v>4</v>
      </c>
      <c r="O1012" t="s">
        <v>36</v>
      </c>
      <c r="P1012" t="s">
        <v>38</v>
      </c>
      <c r="Q1012">
        <v>0</v>
      </c>
      <c r="R1012">
        <v>6</v>
      </c>
      <c r="S1012" t="s">
        <v>2316</v>
      </c>
      <c r="T1012" t="s">
        <v>40</v>
      </c>
      <c r="U1012" t="s">
        <v>982</v>
      </c>
      <c r="V1012" t="s">
        <v>2233</v>
      </c>
      <c r="W1012" t="s">
        <v>989</v>
      </c>
      <c r="X1012" t="s">
        <v>2473</v>
      </c>
      <c r="Y1012" t="s">
        <v>45</v>
      </c>
      <c r="Z1012">
        <v>20</v>
      </c>
      <c r="AA1012">
        <v>6</v>
      </c>
      <c r="AB1012" t="s">
        <v>46</v>
      </c>
      <c r="AC1012" t="s">
        <v>47</v>
      </c>
      <c r="AD1012" t="s">
        <v>2531</v>
      </c>
      <c r="AE1012" t="s">
        <v>2532</v>
      </c>
    </row>
    <row r="1013" spans="1:31" x14ac:dyDescent="0.2">
      <c r="A1013" t="s">
        <v>31</v>
      </c>
      <c r="B1013">
        <v>2023</v>
      </c>
      <c r="C1013">
        <v>62</v>
      </c>
      <c r="D1013" s="1">
        <v>45061</v>
      </c>
      <c r="E1013" t="s">
        <v>458</v>
      </c>
      <c r="F1013" t="s">
        <v>2115</v>
      </c>
      <c r="G1013" t="s">
        <v>2214</v>
      </c>
      <c r="H1013" t="s">
        <v>968</v>
      </c>
      <c r="I1013" t="s">
        <v>968</v>
      </c>
      <c r="J1013" t="s">
        <v>37</v>
      </c>
      <c r="K1013">
        <v>188</v>
      </c>
      <c r="L1013">
        <v>9</v>
      </c>
      <c r="M1013">
        <v>154</v>
      </c>
      <c r="N1013">
        <v>9</v>
      </c>
      <c r="O1013" t="s">
        <v>2214</v>
      </c>
      <c r="P1013" t="s">
        <v>38</v>
      </c>
      <c r="Q1013">
        <v>34</v>
      </c>
      <c r="R1013">
        <v>0</v>
      </c>
      <c r="S1013" t="s">
        <v>1930</v>
      </c>
      <c r="T1013" t="s">
        <v>1279</v>
      </c>
      <c r="U1013" t="s">
        <v>455</v>
      </c>
      <c r="V1013" t="s">
        <v>1210</v>
      </c>
      <c r="W1013" t="s">
        <v>2228</v>
      </c>
      <c r="X1013" t="s">
        <v>2470</v>
      </c>
      <c r="Y1013" t="s">
        <v>45</v>
      </c>
      <c r="Z1013">
        <v>20</v>
      </c>
      <c r="AA1013">
        <v>6</v>
      </c>
      <c r="AB1013" t="s">
        <v>46</v>
      </c>
      <c r="AC1013" t="s">
        <v>47</v>
      </c>
      <c r="AD1013" t="s">
        <v>2533</v>
      </c>
      <c r="AE1013" t="s">
        <v>2534</v>
      </c>
    </row>
    <row r="1014" spans="1:31" x14ac:dyDescent="0.2">
      <c r="A1014" t="s">
        <v>31</v>
      </c>
      <c r="B1014">
        <v>2023</v>
      </c>
      <c r="C1014">
        <v>63</v>
      </c>
      <c r="D1014" s="1">
        <v>45062</v>
      </c>
      <c r="E1014" t="s">
        <v>2383</v>
      </c>
      <c r="F1014" t="s">
        <v>2384</v>
      </c>
      <c r="G1014" t="s">
        <v>2213</v>
      </c>
      <c r="H1014" t="s">
        <v>87</v>
      </c>
      <c r="I1014" t="s">
        <v>87</v>
      </c>
      <c r="J1014" t="s">
        <v>37</v>
      </c>
      <c r="K1014">
        <v>177</v>
      </c>
      <c r="L1014">
        <v>4</v>
      </c>
      <c r="M1014">
        <v>172</v>
      </c>
      <c r="N1014">
        <v>5</v>
      </c>
      <c r="O1014" t="s">
        <v>2213</v>
      </c>
      <c r="P1014" t="s">
        <v>38</v>
      </c>
      <c r="Q1014">
        <v>5</v>
      </c>
      <c r="R1014">
        <v>0</v>
      </c>
      <c r="S1014" t="s">
        <v>1493</v>
      </c>
      <c r="T1014" t="s">
        <v>2514</v>
      </c>
      <c r="U1014" t="s">
        <v>146</v>
      </c>
      <c r="V1014" t="s">
        <v>969</v>
      </c>
      <c r="W1014" t="s">
        <v>1283</v>
      </c>
      <c r="X1014" t="s">
        <v>2466</v>
      </c>
      <c r="Y1014" t="s">
        <v>45</v>
      </c>
      <c r="Z1014">
        <v>20</v>
      </c>
      <c r="AA1014">
        <v>6</v>
      </c>
      <c r="AB1014" t="s">
        <v>46</v>
      </c>
      <c r="AC1014" t="s">
        <v>47</v>
      </c>
      <c r="AD1014" t="s">
        <v>2535</v>
      </c>
      <c r="AE1014" t="s">
        <v>2536</v>
      </c>
    </row>
    <row r="1015" spans="1:31" x14ac:dyDescent="0.2">
      <c r="A1015" t="s">
        <v>31</v>
      </c>
      <c r="B1015">
        <v>2023</v>
      </c>
      <c r="C1015">
        <v>64</v>
      </c>
      <c r="D1015" s="1">
        <v>45063</v>
      </c>
      <c r="E1015" t="s">
        <v>578</v>
      </c>
      <c r="F1015" t="s">
        <v>2537</v>
      </c>
      <c r="G1015" t="s">
        <v>1820</v>
      </c>
      <c r="H1015" t="s">
        <v>2080</v>
      </c>
      <c r="I1015" t="s">
        <v>2080</v>
      </c>
      <c r="J1015" t="s">
        <v>37</v>
      </c>
      <c r="K1015">
        <v>213</v>
      </c>
      <c r="L1015">
        <v>2</v>
      </c>
      <c r="M1015">
        <v>198</v>
      </c>
      <c r="N1015">
        <v>8</v>
      </c>
      <c r="O1015" t="s">
        <v>1820</v>
      </c>
      <c r="P1015" t="s">
        <v>38</v>
      </c>
      <c r="Q1015">
        <v>15</v>
      </c>
      <c r="R1015">
        <v>0</v>
      </c>
      <c r="S1015" t="s">
        <v>2538</v>
      </c>
      <c r="T1015" t="s">
        <v>2517</v>
      </c>
      <c r="U1015" t="s">
        <v>463</v>
      </c>
      <c r="V1015" t="s">
        <v>2219</v>
      </c>
      <c r="W1015" t="s">
        <v>656</v>
      </c>
      <c r="X1015" t="s">
        <v>2479</v>
      </c>
      <c r="Y1015" t="s">
        <v>45</v>
      </c>
      <c r="Z1015">
        <v>20</v>
      </c>
      <c r="AA1015">
        <v>6</v>
      </c>
      <c r="AB1015" t="s">
        <v>46</v>
      </c>
      <c r="AC1015" t="s">
        <v>47</v>
      </c>
      <c r="AD1015" t="s">
        <v>2539</v>
      </c>
      <c r="AE1015" t="s">
        <v>2540</v>
      </c>
    </row>
    <row r="1016" spans="1:31" x14ac:dyDescent="0.2">
      <c r="A1016" t="s">
        <v>31</v>
      </c>
      <c r="B1016">
        <v>2023</v>
      </c>
      <c r="C1016">
        <v>65</v>
      </c>
      <c r="D1016" s="1">
        <v>45064</v>
      </c>
      <c r="E1016" t="s">
        <v>101</v>
      </c>
      <c r="F1016" t="s">
        <v>2389</v>
      </c>
      <c r="G1016" t="s">
        <v>968</v>
      </c>
      <c r="H1016" t="s">
        <v>35</v>
      </c>
      <c r="I1016" t="s">
        <v>35</v>
      </c>
      <c r="J1016" t="s">
        <v>37</v>
      </c>
      <c r="K1016">
        <v>186</v>
      </c>
      <c r="L1016">
        <v>5</v>
      </c>
      <c r="M1016">
        <v>187</v>
      </c>
      <c r="N1016">
        <v>2</v>
      </c>
      <c r="O1016" t="s">
        <v>35</v>
      </c>
      <c r="P1016" t="s">
        <v>38</v>
      </c>
      <c r="Q1016">
        <v>0</v>
      </c>
      <c r="R1016">
        <v>8</v>
      </c>
      <c r="S1016" t="s">
        <v>678</v>
      </c>
      <c r="T1016" t="s">
        <v>40</v>
      </c>
      <c r="U1016" t="s">
        <v>819</v>
      </c>
      <c r="V1016" t="s">
        <v>939</v>
      </c>
      <c r="W1016" t="s">
        <v>1728</v>
      </c>
      <c r="X1016" t="s">
        <v>2473</v>
      </c>
      <c r="Y1016" t="s">
        <v>45</v>
      </c>
      <c r="Z1016">
        <v>20</v>
      </c>
      <c r="AA1016">
        <v>6</v>
      </c>
      <c r="AB1016" t="s">
        <v>46</v>
      </c>
      <c r="AC1016" t="s">
        <v>47</v>
      </c>
      <c r="AD1016" t="s">
        <v>2541</v>
      </c>
      <c r="AE1016" t="s">
        <v>2542</v>
      </c>
    </row>
    <row r="1017" spans="1:31" x14ac:dyDescent="0.2">
      <c r="A1017" t="s">
        <v>31</v>
      </c>
      <c r="B1017">
        <v>2023</v>
      </c>
      <c r="C1017">
        <v>66</v>
      </c>
      <c r="D1017" s="1">
        <v>45065</v>
      </c>
      <c r="E1017" t="s">
        <v>578</v>
      </c>
      <c r="F1017" t="s">
        <v>2537</v>
      </c>
      <c r="G1017" t="s">
        <v>2080</v>
      </c>
      <c r="H1017" t="s">
        <v>66</v>
      </c>
      <c r="I1017" t="s">
        <v>66</v>
      </c>
      <c r="J1017" t="s">
        <v>37</v>
      </c>
      <c r="K1017">
        <v>187</v>
      </c>
      <c r="L1017">
        <v>5</v>
      </c>
      <c r="M1017">
        <v>189</v>
      </c>
      <c r="N1017">
        <v>6</v>
      </c>
      <c r="O1017" t="s">
        <v>66</v>
      </c>
      <c r="P1017" t="s">
        <v>38</v>
      </c>
      <c r="Q1017">
        <v>0</v>
      </c>
      <c r="R1017">
        <v>4</v>
      </c>
      <c r="S1017" t="s">
        <v>2104</v>
      </c>
      <c r="T1017" t="s">
        <v>2517</v>
      </c>
      <c r="U1017" t="s">
        <v>969</v>
      </c>
      <c r="V1017" t="s">
        <v>656</v>
      </c>
      <c r="W1017" t="s">
        <v>1197</v>
      </c>
      <c r="X1017" t="s">
        <v>2479</v>
      </c>
      <c r="Y1017" t="s">
        <v>45</v>
      </c>
      <c r="Z1017">
        <v>20</v>
      </c>
      <c r="AA1017">
        <v>6</v>
      </c>
      <c r="AB1017" t="s">
        <v>46</v>
      </c>
      <c r="AC1017" t="s">
        <v>47</v>
      </c>
      <c r="AD1017" t="s">
        <v>2543</v>
      </c>
      <c r="AE1017" t="s">
        <v>2544</v>
      </c>
    </row>
    <row r="1018" spans="1:31" x14ac:dyDescent="0.2">
      <c r="A1018" t="s">
        <v>31</v>
      </c>
      <c r="B1018">
        <v>2023</v>
      </c>
      <c r="C1018">
        <v>67</v>
      </c>
      <c r="D1018" s="1">
        <v>45066</v>
      </c>
      <c r="E1018" t="s">
        <v>63</v>
      </c>
      <c r="F1018" t="s">
        <v>2120</v>
      </c>
      <c r="G1018" t="s">
        <v>53</v>
      </c>
      <c r="H1018" t="s">
        <v>1820</v>
      </c>
      <c r="I1018" t="s">
        <v>53</v>
      </c>
      <c r="J1018" t="s">
        <v>54</v>
      </c>
      <c r="K1018">
        <v>223</v>
      </c>
      <c r="L1018">
        <v>3</v>
      </c>
      <c r="M1018">
        <v>146</v>
      </c>
      <c r="N1018">
        <v>9</v>
      </c>
      <c r="O1018" t="s">
        <v>53</v>
      </c>
      <c r="P1018" t="s">
        <v>38</v>
      </c>
      <c r="Q1018">
        <v>77</v>
      </c>
      <c r="R1018">
        <v>0</v>
      </c>
      <c r="S1018" t="s">
        <v>2038</v>
      </c>
      <c r="T1018" t="s">
        <v>2514</v>
      </c>
      <c r="U1018" t="s">
        <v>1283</v>
      </c>
      <c r="V1018" t="s">
        <v>621</v>
      </c>
      <c r="W1018" t="s">
        <v>146</v>
      </c>
      <c r="X1018" t="s">
        <v>2466</v>
      </c>
      <c r="Y1018" t="s">
        <v>45</v>
      </c>
      <c r="Z1018">
        <v>20</v>
      </c>
      <c r="AA1018">
        <v>6</v>
      </c>
      <c r="AB1018" t="s">
        <v>46</v>
      </c>
      <c r="AC1018" t="s">
        <v>47</v>
      </c>
      <c r="AD1018" t="s">
        <v>2545</v>
      </c>
      <c r="AE1018" t="s">
        <v>2546</v>
      </c>
    </row>
    <row r="1019" spans="1:31" x14ac:dyDescent="0.2">
      <c r="A1019" t="s">
        <v>31</v>
      </c>
      <c r="B1019">
        <v>2023</v>
      </c>
      <c r="C1019">
        <v>68</v>
      </c>
      <c r="D1019" s="1">
        <v>45066</v>
      </c>
      <c r="E1019" t="s">
        <v>75</v>
      </c>
      <c r="F1019" t="s">
        <v>2368</v>
      </c>
      <c r="G1019" t="s">
        <v>2213</v>
      </c>
      <c r="H1019" t="s">
        <v>36</v>
      </c>
      <c r="I1019" t="s">
        <v>36</v>
      </c>
      <c r="J1019" t="s">
        <v>37</v>
      </c>
      <c r="K1019">
        <v>176</v>
      </c>
      <c r="L1019">
        <v>8</v>
      </c>
      <c r="M1019">
        <v>175</v>
      </c>
      <c r="N1019">
        <v>7</v>
      </c>
      <c r="O1019" t="s">
        <v>2213</v>
      </c>
      <c r="P1019" t="s">
        <v>38</v>
      </c>
      <c r="Q1019">
        <v>1</v>
      </c>
      <c r="R1019">
        <v>0</v>
      </c>
      <c r="S1019" t="s">
        <v>2418</v>
      </c>
      <c r="T1019" t="s">
        <v>1279</v>
      </c>
      <c r="U1019" t="s">
        <v>455</v>
      </c>
      <c r="V1019" t="s">
        <v>1210</v>
      </c>
      <c r="W1019" t="s">
        <v>1417</v>
      </c>
      <c r="X1019" t="s">
        <v>2470</v>
      </c>
      <c r="Y1019" t="s">
        <v>45</v>
      </c>
      <c r="Z1019">
        <v>20</v>
      </c>
      <c r="AA1019">
        <v>6</v>
      </c>
      <c r="AB1019" t="s">
        <v>46</v>
      </c>
      <c r="AC1019" t="s">
        <v>47</v>
      </c>
      <c r="AD1019" t="s">
        <v>2547</v>
      </c>
      <c r="AE1019" t="s">
        <v>2548</v>
      </c>
    </row>
    <row r="1020" spans="1:31" x14ac:dyDescent="0.2">
      <c r="A1020" t="s">
        <v>31</v>
      </c>
      <c r="B1020">
        <v>2023</v>
      </c>
      <c r="C1020">
        <v>69</v>
      </c>
      <c r="D1020" s="1">
        <v>45067</v>
      </c>
      <c r="E1020" t="s">
        <v>85</v>
      </c>
      <c r="F1020" t="s">
        <v>2075</v>
      </c>
      <c r="G1020" t="s">
        <v>968</v>
      </c>
      <c r="H1020" t="s">
        <v>87</v>
      </c>
      <c r="I1020" t="s">
        <v>87</v>
      </c>
      <c r="J1020" t="s">
        <v>37</v>
      </c>
      <c r="K1020">
        <v>200</v>
      </c>
      <c r="L1020">
        <v>5</v>
      </c>
      <c r="M1020">
        <v>201</v>
      </c>
      <c r="N1020">
        <v>2</v>
      </c>
      <c r="O1020" t="s">
        <v>87</v>
      </c>
      <c r="P1020" t="s">
        <v>38</v>
      </c>
      <c r="Q1020">
        <v>0</v>
      </c>
      <c r="R1020">
        <v>8</v>
      </c>
      <c r="S1020" t="s">
        <v>2442</v>
      </c>
      <c r="T1020" t="s">
        <v>2517</v>
      </c>
      <c r="U1020" t="s">
        <v>463</v>
      </c>
      <c r="V1020" t="s">
        <v>656</v>
      </c>
      <c r="W1020" t="s">
        <v>1193</v>
      </c>
      <c r="X1020" t="s">
        <v>2479</v>
      </c>
      <c r="Y1020" t="s">
        <v>45</v>
      </c>
      <c r="Z1020">
        <v>20</v>
      </c>
      <c r="AA1020">
        <v>6</v>
      </c>
      <c r="AB1020" t="s">
        <v>46</v>
      </c>
      <c r="AC1020" t="s">
        <v>47</v>
      </c>
      <c r="AD1020" t="s">
        <v>2549</v>
      </c>
      <c r="AE1020" t="s">
        <v>2550</v>
      </c>
    </row>
    <row r="1021" spans="1:31" x14ac:dyDescent="0.2">
      <c r="A1021" t="s">
        <v>31</v>
      </c>
      <c r="B1021">
        <v>2023</v>
      </c>
      <c r="C1021">
        <v>70</v>
      </c>
      <c r="D1021" s="1">
        <v>45067</v>
      </c>
      <c r="E1021" t="s">
        <v>1558</v>
      </c>
      <c r="F1021" t="s">
        <v>2393</v>
      </c>
      <c r="G1021" t="s">
        <v>35</v>
      </c>
      <c r="H1021" t="s">
        <v>2214</v>
      </c>
      <c r="I1021" t="s">
        <v>2214</v>
      </c>
      <c r="J1021" t="s">
        <v>37</v>
      </c>
      <c r="K1021">
        <v>197</v>
      </c>
      <c r="L1021">
        <v>5</v>
      </c>
      <c r="M1021">
        <v>198</v>
      </c>
      <c r="N1021">
        <v>4</v>
      </c>
      <c r="O1021" t="s">
        <v>2214</v>
      </c>
      <c r="P1021" t="s">
        <v>38</v>
      </c>
      <c r="Q1021">
        <v>0</v>
      </c>
      <c r="R1021">
        <v>6</v>
      </c>
      <c r="S1021" t="s">
        <v>1930</v>
      </c>
      <c r="T1021" t="s">
        <v>40</v>
      </c>
      <c r="U1021" t="s">
        <v>989</v>
      </c>
      <c r="V1021" t="s">
        <v>939</v>
      </c>
      <c r="W1021" t="s">
        <v>982</v>
      </c>
      <c r="X1021" t="s">
        <v>2473</v>
      </c>
      <c r="Y1021" t="s">
        <v>45</v>
      </c>
      <c r="Z1021">
        <v>20</v>
      </c>
      <c r="AA1021">
        <v>6</v>
      </c>
      <c r="AB1021" t="s">
        <v>46</v>
      </c>
      <c r="AC1021" t="s">
        <v>47</v>
      </c>
      <c r="AD1021" t="s">
        <v>2551</v>
      </c>
      <c r="AE1021" t="s">
        <v>2552</v>
      </c>
    </row>
    <row r="1022" spans="1:31" x14ac:dyDescent="0.2">
      <c r="A1022" t="s">
        <v>31</v>
      </c>
      <c r="B1022">
        <v>2023</v>
      </c>
      <c r="C1022" t="s">
        <v>256</v>
      </c>
      <c r="D1022" s="1">
        <v>45069</v>
      </c>
      <c r="E1022" t="s">
        <v>108</v>
      </c>
      <c r="F1022" t="s">
        <v>2072</v>
      </c>
      <c r="G1022" t="s">
        <v>53</v>
      </c>
      <c r="H1022" t="s">
        <v>2214</v>
      </c>
      <c r="I1022" t="s">
        <v>2214</v>
      </c>
      <c r="J1022" t="s">
        <v>37</v>
      </c>
      <c r="K1022">
        <v>172</v>
      </c>
      <c r="L1022">
        <v>7</v>
      </c>
      <c r="M1022">
        <v>157</v>
      </c>
      <c r="N1022">
        <v>10</v>
      </c>
      <c r="O1022" t="s">
        <v>53</v>
      </c>
      <c r="P1022" t="s">
        <v>38</v>
      </c>
      <c r="Q1022">
        <v>15</v>
      </c>
      <c r="R1022">
        <v>0</v>
      </c>
      <c r="S1022" t="s">
        <v>2038</v>
      </c>
      <c r="T1022" t="s">
        <v>1279</v>
      </c>
      <c r="U1022" t="s">
        <v>146</v>
      </c>
      <c r="V1022" t="s">
        <v>1283</v>
      </c>
      <c r="W1022" t="s">
        <v>819</v>
      </c>
      <c r="X1022" t="s">
        <v>939</v>
      </c>
      <c r="Y1022" t="s">
        <v>45</v>
      </c>
      <c r="Z1022">
        <v>20</v>
      </c>
      <c r="AA1022">
        <v>6</v>
      </c>
      <c r="AB1022" t="s">
        <v>46</v>
      </c>
      <c r="AC1022" t="s">
        <v>47</v>
      </c>
      <c r="AD1022" t="s">
        <v>2553</v>
      </c>
      <c r="AE1022" t="s">
        <v>2554</v>
      </c>
    </row>
    <row r="1023" spans="1:31" x14ac:dyDescent="0.2">
      <c r="A1023" t="s">
        <v>31</v>
      </c>
      <c r="B1023">
        <v>2023</v>
      </c>
      <c r="C1023" t="s">
        <v>256</v>
      </c>
      <c r="D1023" s="1">
        <v>45070</v>
      </c>
      <c r="E1023" t="s">
        <v>108</v>
      </c>
      <c r="F1023" t="s">
        <v>2072</v>
      </c>
      <c r="G1023" t="s">
        <v>87</v>
      </c>
      <c r="H1023" t="s">
        <v>2213</v>
      </c>
      <c r="I1023" t="s">
        <v>87</v>
      </c>
      <c r="J1023" t="s">
        <v>54</v>
      </c>
      <c r="K1023">
        <v>182</v>
      </c>
      <c r="L1023">
        <v>8</v>
      </c>
      <c r="M1023">
        <v>101</v>
      </c>
      <c r="N1023">
        <v>10</v>
      </c>
      <c r="O1023" t="s">
        <v>87</v>
      </c>
      <c r="P1023" t="s">
        <v>38</v>
      </c>
      <c r="Q1023">
        <v>81</v>
      </c>
      <c r="R1023">
        <v>0</v>
      </c>
      <c r="S1023" t="s">
        <v>2555</v>
      </c>
      <c r="T1023" t="s">
        <v>1553</v>
      </c>
      <c r="U1023" t="s">
        <v>819</v>
      </c>
      <c r="V1023" t="s">
        <v>939</v>
      </c>
      <c r="W1023" t="s">
        <v>1283</v>
      </c>
      <c r="X1023" t="s">
        <v>146</v>
      </c>
      <c r="Y1023" t="s">
        <v>45</v>
      </c>
      <c r="Z1023">
        <v>20</v>
      </c>
      <c r="AA1023">
        <v>6</v>
      </c>
      <c r="AB1023" t="s">
        <v>46</v>
      </c>
      <c r="AC1023" t="s">
        <v>47</v>
      </c>
      <c r="AD1023" t="s">
        <v>2556</v>
      </c>
      <c r="AE1023" t="s">
        <v>2557</v>
      </c>
    </row>
    <row r="1024" spans="1:31" x14ac:dyDescent="0.2">
      <c r="A1024" t="s">
        <v>31</v>
      </c>
      <c r="B1024">
        <v>2023</v>
      </c>
      <c r="C1024" t="s">
        <v>256</v>
      </c>
      <c r="D1024" s="1">
        <v>45072</v>
      </c>
      <c r="E1024" t="s">
        <v>458</v>
      </c>
      <c r="F1024" t="s">
        <v>2115</v>
      </c>
      <c r="G1024" t="s">
        <v>2214</v>
      </c>
      <c r="H1024" t="s">
        <v>87</v>
      </c>
      <c r="I1024" t="s">
        <v>87</v>
      </c>
      <c r="J1024" t="s">
        <v>37</v>
      </c>
      <c r="K1024">
        <v>233</v>
      </c>
      <c r="L1024">
        <v>3</v>
      </c>
      <c r="M1024">
        <v>171</v>
      </c>
      <c r="N1024">
        <v>10</v>
      </c>
      <c r="O1024" t="s">
        <v>2214</v>
      </c>
      <c r="P1024" t="s">
        <v>38</v>
      </c>
      <c r="Q1024">
        <v>62</v>
      </c>
      <c r="R1024">
        <v>0</v>
      </c>
      <c r="S1024" t="s">
        <v>1930</v>
      </c>
      <c r="T1024" t="s">
        <v>40</v>
      </c>
      <c r="U1024" t="s">
        <v>989</v>
      </c>
      <c r="V1024" t="s">
        <v>656</v>
      </c>
      <c r="W1024" t="s">
        <v>455</v>
      </c>
      <c r="X1024" t="s">
        <v>463</v>
      </c>
      <c r="Y1024" t="s">
        <v>45</v>
      </c>
      <c r="Z1024">
        <v>20</v>
      </c>
      <c r="AA1024">
        <v>6</v>
      </c>
      <c r="AB1024" t="s">
        <v>46</v>
      </c>
      <c r="AC1024" t="s">
        <v>47</v>
      </c>
      <c r="AD1024" t="s">
        <v>2558</v>
      </c>
      <c r="AE1024" t="s">
        <v>2559</v>
      </c>
    </row>
    <row r="1025" spans="1:31" x14ac:dyDescent="0.2">
      <c r="A1025" t="s">
        <v>31</v>
      </c>
      <c r="B1025">
        <v>2023</v>
      </c>
      <c r="C1025" t="s">
        <v>256</v>
      </c>
      <c r="D1025" s="1">
        <v>45075</v>
      </c>
      <c r="E1025" t="s">
        <v>458</v>
      </c>
      <c r="F1025" t="s">
        <v>2115</v>
      </c>
      <c r="G1025" t="s">
        <v>2214</v>
      </c>
      <c r="H1025" t="s">
        <v>53</v>
      </c>
      <c r="I1025" t="s">
        <v>53</v>
      </c>
      <c r="J1025" t="s">
        <v>37</v>
      </c>
      <c r="K1025">
        <v>214</v>
      </c>
      <c r="L1025">
        <v>4</v>
      </c>
      <c r="M1025">
        <v>171</v>
      </c>
      <c r="N1025">
        <v>5</v>
      </c>
      <c r="O1025" t="s">
        <v>53</v>
      </c>
      <c r="P1025" t="s">
        <v>38</v>
      </c>
      <c r="Q1025">
        <v>0</v>
      </c>
      <c r="R1025">
        <v>5</v>
      </c>
      <c r="S1025" t="s">
        <v>2335</v>
      </c>
      <c r="T1025" t="s">
        <v>40</v>
      </c>
      <c r="U1025" t="s">
        <v>989</v>
      </c>
      <c r="V1025" t="s">
        <v>656</v>
      </c>
      <c r="W1025" t="s">
        <v>463</v>
      </c>
      <c r="X1025" t="s">
        <v>455</v>
      </c>
      <c r="Y1025" t="s">
        <v>45</v>
      </c>
      <c r="Z1025">
        <v>20</v>
      </c>
      <c r="AA1025">
        <v>6</v>
      </c>
      <c r="AB1025" t="s">
        <v>46</v>
      </c>
      <c r="AC1025" t="s">
        <v>47</v>
      </c>
      <c r="AD1025" t="s">
        <v>2560</v>
      </c>
      <c r="AE1025" t="s">
        <v>2561</v>
      </c>
    </row>
    <row r="1026" spans="1:31" x14ac:dyDescent="0.2">
      <c r="A1026" t="s">
        <v>31</v>
      </c>
      <c r="B1026">
        <v>2024</v>
      </c>
      <c r="C1026">
        <v>1</v>
      </c>
      <c r="D1026" s="1">
        <v>45373</v>
      </c>
      <c r="E1026" t="s">
        <v>108</v>
      </c>
      <c r="F1026" t="s">
        <v>2072</v>
      </c>
      <c r="G1026" t="s">
        <v>2562</v>
      </c>
      <c r="H1026" t="s">
        <v>53</v>
      </c>
      <c r="I1026" t="s">
        <v>2562</v>
      </c>
      <c r="J1026" t="s">
        <v>54</v>
      </c>
      <c r="K1026">
        <v>173</v>
      </c>
      <c r="L1026">
        <v>6</v>
      </c>
      <c r="M1026">
        <v>176</v>
      </c>
      <c r="N1026">
        <v>4</v>
      </c>
      <c r="O1026" t="s">
        <v>53</v>
      </c>
      <c r="P1026" t="s">
        <v>38</v>
      </c>
      <c r="Q1026">
        <v>0</v>
      </c>
      <c r="R1026">
        <v>6</v>
      </c>
      <c r="S1026" t="s">
        <v>1450</v>
      </c>
      <c r="T1026" t="s">
        <v>40</v>
      </c>
      <c r="U1026" t="s">
        <v>1728</v>
      </c>
      <c r="V1026" t="s">
        <v>939</v>
      </c>
      <c r="W1026" t="s">
        <v>989</v>
      </c>
      <c r="X1026" t="s">
        <v>2386</v>
      </c>
      <c r="Y1026" t="s">
        <v>45</v>
      </c>
      <c r="Z1026">
        <v>20</v>
      </c>
      <c r="AA1026">
        <v>6</v>
      </c>
      <c r="AB1026" t="s">
        <v>46</v>
      </c>
      <c r="AC1026" t="s">
        <v>47</v>
      </c>
      <c r="AD1026" t="s">
        <v>2563</v>
      </c>
      <c r="AE1026" t="s">
        <v>2564</v>
      </c>
    </row>
    <row r="1027" spans="1:31" x14ac:dyDescent="0.2">
      <c r="A1027" t="s">
        <v>31</v>
      </c>
      <c r="B1027">
        <v>2024</v>
      </c>
      <c r="C1027">
        <v>2</v>
      </c>
      <c r="D1027" s="1">
        <v>45374</v>
      </c>
      <c r="E1027" t="s">
        <v>2565</v>
      </c>
      <c r="F1027" t="s">
        <v>2566</v>
      </c>
      <c r="G1027" t="s">
        <v>1820</v>
      </c>
      <c r="H1027" t="s">
        <v>2080</v>
      </c>
      <c r="I1027" t="s">
        <v>2080</v>
      </c>
      <c r="J1027" t="s">
        <v>37</v>
      </c>
      <c r="K1027">
        <v>174</v>
      </c>
      <c r="L1027">
        <v>9</v>
      </c>
      <c r="M1027">
        <v>177</v>
      </c>
      <c r="N1027">
        <v>6</v>
      </c>
      <c r="O1027" t="s">
        <v>2080</v>
      </c>
      <c r="P1027" t="s">
        <v>38</v>
      </c>
      <c r="Q1027">
        <v>0</v>
      </c>
      <c r="R1027">
        <v>4</v>
      </c>
      <c r="S1027" t="s">
        <v>1843</v>
      </c>
      <c r="T1027" t="s">
        <v>1553</v>
      </c>
      <c r="U1027" t="s">
        <v>455</v>
      </c>
      <c r="V1027" t="s">
        <v>621</v>
      </c>
      <c r="W1027" t="s">
        <v>2567</v>
      </c>
      <c r="X1027" t="s">
        <v>2380</v>
      </c>
      <c r="Y1027" t="s">
        <v>45</v>
      </c>
      <c r="Z1027">
        <v>20</v>
      </c>
      <c r="AA1027">
        <v>6</v>
      </c>
      <c r="AB1027" t="s">
        <v>46</v>
      </c>
      <c r="AC1027" t="s">
        <v>47</v>
      </c>
      <c r="AD1027" t="s">
        <v>2568</v>
      </c>
      <c r="AE1027" t="s">
        <v>2569</v>
      </c>
    </row>
    <row r="1028" spans="1:31" x14ac:dyDescent="0.2">
      <c r="A1028" t="s">
        <v>31</v>
      </c>
      <c r="B1028">
        <v>2024</v>
      </c>
      <c r="C1028">
        <v>3</v>
      </c>
      <c r="D1028" s="1">
        <v>45374</v>
      </c>
      <c r="E1028" t="s">
        <v>75</v>
      </c>
      <c r="F1028" t="s">
        <v>2368</v>
      </c>
      <c r="G1028" t="s">
        <v>36</v>
      </c>
      <c r="H1028" t="s">
        <v>968</v>
      </c>
      <c r="I1028" t="s">
        <v>968</v>
      </c>
      <c r="J1028" t="s">
        <v>37</v>
      </c>
      <c r="K1028">
        <v>208</v>
      </c>
      <c r="L1028">
        <v>7</v>
      </c>
      <c r="M1028">
        <v>204</v>
      </c>
      <c r="N1028">
        <v>7</v>
      </c>
      <c r="O1028" t="s">
        <v>36</v>
      </c>
      <c r="P1028" t="s">
        <v>38</v>
      </c>
      <c r="Q1028">
        <v>4</v>
      </c>
      <c r="R1028">
        <v>0</v>
      </c>
      <c r="S1028" t="s">
        <v>1308</v>
      </c>
      <c r="T1028" t="s">
        <v>1279</v>
      </c>
      <c r="U1028" t="s">
        <v>1193</v>
      </c>
      <c r="V1028" t="s">
        <v>1417</v>
      </c>
      <c r="W1028" t="s">
        <v>819</v>
      </c>
      <c r="X1028" t="s">
        <v>2466</v>
      </c>
      <c r="Y1028" t="s">
        <v>45</v>
      </c>
      <c r="Z1028">
        <v>20</v>
      </c>
      <c r="AA1028">
        <v>6</v>
      </c>
      <c r="AB1028" t="s">
        <v>46</v>
      </c>
      <c r="AC1028" t="s">
        <v>47</v>
      </c>
      <c r="AD1028" t="s">
        <v>2570</v>
      </c>
      <c r="AE1028" t="s">
        <v>2571</v>
      </c>
    </row>
    <row r="1029" spans="1:31" x14ac:dyDescent="0.2">
      <c r="A1029" t="s">
        <v>31</v>
      </c>
      <c r="B1029">
        <v>2024</v>
      </c>
      <c r="C1029">
        <v>4</v>
      </c>
      <c r="D1029" s="1">
        <v>45375</v>
      </c>
      <c r="E1029" t="s">
        <v>95</v>
      </c>
      <c r="F1029" t="s">
        <v>2445</v>
      </c>
      <c r="G1029" t="s">
        <v>66</v>
      </c>
      <c r="H1029" t="s">
        <v>2213</v>
      </c>
      <c r="I1029" t="s">
        <v>66</v>
      </c>
      <c r="J1029" t="s">
        <v>54</v>
      </c>
      <c r="K1029">
        <v>193</v>
      </c>
      <c r="L1029">
        <v>4</v>
      </c>
      <c r="M1029">
        <v>173</v>
      </c>
      <c r="N1029">
        <v>6</v>
      </c>
      <c r="O1029" t="s">
        <v>66</v>
      </c>
      <c r="P1029" t="s">
        <v>38</v>
      </c>
      <c r="Q1029">
        <v>20</v>
      </c>
      <c r="R1029">
        <v>0</v>
      </c>
      <c r="S1029" t="s">
        <v>1055</v>
      </c>
      <c r="T1029" t="s">
        <v>1772</v>
      </c>
      <c r="U1029" t="s">
        <v>2228</v>
      </c>
      <c r="V1029" t="s">
        <v>312</v>
      </c>
      <c r="W1029" t="s">
        <v>463</v>
      </c>
      <c r="X1029" t="s">
        <v>2473</v>
      </c>
      <c r="Y1029" t="s">
        <v>45</v>
      </c>
      <c r="Z1029">
        <v>20</v>
      </c>
      <c r="AA1029">
        <v>6</v>
      </c>
      <c r="AB1029" t="s">
        <v>46</v>
      </c>
      <c r="AC1029" t="s">
        <v>47</v>
      </c>
      <c r="AD1029" t="s">
        <v>2572</v>
      </c>
      <c r="AE1029" t="s">
        <v>2573</v>
      </c>
    </row>
    <row r="1030" spans="1:31" x14ac:dyDescent="0.2">
      <c r="A1030" t="s">
        <v>31</v>
      </c>
      <c r="B1030">
        <v>2024</v>
      </c>
      <c r="C1030">
        <v>5</v>
      </c>
      <c r="D1030" s="1">
        <v>45375</v>
      </c>
      <c r="E1030" t="s">
        <v>458</v>
      </c>
      <c r="F1030" t="s">
        <v>2115</v>
      </c>
      <c r="G1030" t="s">
        <v>2214</v>
      </c>
      <c r="H1030" t="s">
        <v>87</v>
      </c>
      <c r="I1030" t="s">
        <v>87</v>
      </c>
      <c r="J1030" t="s">
        <v>37</v>
      </c>
      <c r="K1030">
        <v>168</v>
      </c>
      <c r="L1030">
        <v>6</v>
      </c>
      <c r="M1030">
        <v>162</v>
      </c>
      <c r="N1030">
        <v>9</v>
      </c>
      <c r="O1030" t="s">
        <v>2214</v>
      </c>
      <c r="P1030" t="s">
        <v>38</v>
      </c>
      <c r="Q1030">
        <v>6</v>
      </c>
      <c r="R1030">
        <v>0</v>
      </c>
      <c r="S1030" t="s">
        <v>2398</v>
      </c>
      <c r="T1030" t="s">
        <v>40</v>
      </c>
      <c r="U1030" t="s">
        <v>642</v>
      </c>
      <c r="V1030" t="s">
        <v>939</v>
      </c>
      <c r="W1030" t="s">
        <v>989</v>
      </c>
      <c r="X1030" t="s">
        <v>2386</v>
      </c>
      <c r="Y1030" t="s">
        <v>45</v>
      </c>
      <c r="Z1030">
        <v>20</v>
      </c>
      <c r="AA1030">
        <v>6</v>
      </c>
      <c r="AB1030" t="s">
        <v>46</v>
      </c>
      <c r="AC1030" t="s">
        <v>47</v>
      </c>
      <c r="AD1030" t="s">
        <v>2574</v>
      </c>
      <c r="AE1030" t="s">
        <v>2575</v>
      </c>
    </row>
    <row r="1031" spans="1:31" x14ac:dyDescent="0.2">
      <c r="A1031" t="s">
        <v>31</v>
      </c>
      <c r="B1031">
        <v>2024</v>
      </c>
      <c r="C1031">
        <v>6</v>
      </c>
      <c r="D1031" s="1">
        <v>45376</v>
      </c>
      <c r="E1031" t="s">
        <v>1558</v>
      </c>
      <c r="F1031" t="s">
        <v>2393</v>
      </c>
      <c r="G1031" t="s">
        <v>2080</v>
      </c>
      <c r="H1031" t="s">
        <v>2562</v>
      </c>
      <c r="I1031" t="s">
        <v>2562</v>
      </c>
      <c r="J1031" t="s">
        <v>37</v>
      </c>
      <c r="K1031">
        <v>176</v>
      </c>
      <c r="L1031">
        <v>6</v>
      </c>
      <c r="M1031">
        <v>178</v>
      </c>
      <c r="N1031">
        <v>6</v>
      </c>
      <c r="O1031" t="s">
        <v>2562</v>
      </c>
      <c r="P1031" t="s">
        <v>38</v>
      </c>
      <c r="Q1031">
        <v>0</v>
      </c>
      <c r="R1031">
        <v>4</v>
      </c>
      <c r="S1031" t="s">
        <v>678</v>
      </c>
      <c r="T1031" t="s">
        <v>1279</v>
      </c>
      <c r="U1031" t="s">
        <v>146</v>
      </c>
      <c r="V1031" t="s">
        <v>2219</v>
      </c>
      <c r="W1031" t="s">
        <v>819</v>
      </c>
      <c r="X1031" t="s">
        <v>2466</v>
      </c>
      <c r="Y1031" t="s">
        <v>45</v>
      </c>
      <c r="Z1031">
        <v>20</v>
      </c>
      <c r="AA1031">
        <v>6</v>
      </c>
      <c r="AB1031" t="s">
        <v>46</v>
      </c>
      <c r="AC1031" t="s">
        <v>47</v>
      </c>
      <c r="AD1031" t="s">
        <v>2576</v>
      </c>
      <c r="AE1031" t="s">
        <v>2577</v>
      </c>
    </row>
    <row r="1032" spans="1:31" x14ac:dyDescent="0.2">
      <c r="A1032" t="s">
        <v>31</v>
      </c>
      <c r="B1032">
        <v>2024</v>
      </c>
      <c r="C1032">
        <v>7</v>
      </c>
      <c r="D1032" s="1">
        <v>45377</v>
      </c>
      <c r="E1032" t="s">
        <v>108</v>
      </c>
      <c r="F1032" t="s">
        <v>2072</v>
      </c>
      <c r="G1032" t="s">
        <v>53</v>
      </c>
      <c r="H1032" t="s">
        <v>2214</v>
      </c>
      <c r="I1032" t="s">
        <v>2214</v>
      </c>
      <c r="J1032" t="s">
        <v>37</v>
      </c>
      <c r="K1032">
        <v>206</v>
      </c>
      <c r="L1032">
        <v>6</v>
      </c>
      <c r="M1032">
        <v>143</v>
      </c>
      <c r="N1032">
        <v>8</v>
      </c>
      <c r="O1032" t="s">
        <v>53</v>
      </c>
      <c r="P1032" t="s">
        <v>38</v>
      </c>
      <c r="Q1032">
        <v>63</v>
      </c>
      <c r="R1032">
        <v>0</v>
      </c>
      <c r="S1032" t="s">
        <v>2261</v>
      </c>
      <c r="T1032" t="s">
        <v>1553</v>
      </c>
      <c r="U1032" t="s">
        <v>2567</v>
      </c>
      <c r="V1032" t="s">
        <v>982</v>
      </c>
      <c r="W1032" t="s">
        <v>455</v>
      </c>
      <c r="X1032" t="s">
        <v>2380</v>
      </c>
      <c r="Y1032" t="s">
        <v>45</v>
      </c>
      <c r="Z1032">
        <v>20</v>
      </c>
      <c r="AA1032">
        <v>6</v>
      </c>
      <c r="AB1032" t="s">
        <v>46</v>
      </c>
      <c r="AC1032" t="s">
        <v>47</v>
      </c>
      <c r="AD1032" t="s">
        <v>2578</v>
      </c>
      <c r="AE1032" t="s">
        <v>2579</v>
      </c>
    </row>
    <row r="1033" spans="1:31" x14ac:dyDescent="0.2">
      <c r="A1033" t="s">
        <v>31</v>
      </c>
      <c r="B1033">
        <v>2024</v>
      </c>
      <c r="C1033">
        <v>8</v>
      </c>
      <c r="D1033" s="1">
        <v>45378</v>
      </c>
      <c r="E1033" t="s">
        <v>101</v>
      </c>
      <c r="F1033" t="s">
        <v>2389</v>
      </c>
      <c r="G1033" t="s">
        <v>968</v>
      </c>
      <c r="H1033" t="s">
        <v>87</v>
      </c>
      <c r="I1033" t="s">
        <v>87</v>
      </c>
      <c r="J1033" t="s">
        <v>37</v>
      </c>
      <c r="K1033">
        <v>277</v>
      </c>
      <c r="L1033">
        <v>3</v>
      </c>
      <c r="M1033">
        <v>246</v>
      </c>
      <c r="N1033">
        <v>5</v>
      </c>
      <c r="O1033" t="s">
        <v>968</v>
      </c>
      <c r="P1033" t="s">
        <v>38</v>
      </c>
      <c r="Q1033">
        <v>31</v>
      </c>
      <c r="R1033">
        <v>0</v>
      </c>
      <c r="S1033" t="s">
        <v>2249</v>
      </c>
      <c r="T1033" t="s">
        <v>1772</v>
      </c>
      <c r="U1033" t="s">
        <v>463</v>
      </c>
      <c r="V1033" t="s">
        <v>1210</v>
      </c>
      <c r="W1033" t="s">
        <v>312</v>
      </c>
      <c r="X1033" t="s">
        <v>2473</v>
      </c>
      <c r="Y1033" t="s">
        <v>45</v>
      </c>
      <c r="Z1033">
        <v>20</v>
      </c>
      <c r="AA1033">
        <v>6</v>
      </c>
      <c r="AB1033" t="s">
        <v>46</v>
      </c>
      <c r="AC1033" t="s">
        <v>47</v>
      </c>
      <c r="AD1033" t="s">
        <v>2580</v>
      </c>
      <c r="AE1033" t="s">
        <v>2581</v>
      </c>
    </row>
    <row r="1034" spans="1:31" x14ac:dyDescent="0.2">
      <c r="A1034" t="s">
        <v>31</v>
      </c>
      <c r="B1034">
        <v>2024</v>
      </c>
      <c r="C1034">
        <v>9</v>
      </c>
      <c r="D1034" s="1">
        <v>45379</v>
      </c>
      <c r="E1034" t="s">
        <v>95</v>
      </c>
      <c r="F1034" t="s">
        <v>2445</v>
      </c>
      <c r="G1034" t="s">
        <v>66</v>
      </c>
      <c r="H1034" t="s">
        <v>1820</v>
      </c>
      <c r="I1034" t="s">
        <v>1820</v>
      </c>
      <c r="J1034" t="s">
        <v>37</v>
      </c>
      <c r="K1034">
        <v>185</v>
      </c>
      <c r="L1034">
        <v>5</v>
      </c>
      <c r="M1034">
        <v>173</v>
      </c>
      <c r="N1034">
        <v>5</v>
      </c>
      <c r="O1034" t="s">
        <v>66</v>
      </c>
      <c r="P1034" t="s">
        <v>38</v>
      </c>
      <c r="Q1034">
        <v>12</v>
      </c>
      <c r="R1034">
        <v>0</v>
      </c>
      <c r="S1034" t="s">
        <v>2298</v>
      </c>
      <c r="T1034" t="s">
        <v>40</v>
      </c>
      <c r="U1034" t="s">
        <v>969</v>
      </c>
      <c r="V1034" t="s">
        <v>989</v>
      </c>
      <c r="W1034" t="s">
        <v>939</v>
      </c>
      <c r="X1034" t="s">
        <v>2386</v>
      </c>
      <c r="Y1034" t="s">
        <v>45</v>
      </c>
      <c r="Z1034">
        <v>20</v>
      </c>
      <c r="AA1034">
        <v>6</v>
      </c>
      <c r="AB1034" t="s">
        <v>46</v>
      </c>
      <c r="AC1034" t="s">
        <v>47</v>
      </c>
      <c r="AD1034" t="s">
        <v>2582</v>
      </c>
      <c r="AE1034" t="s">
        <v>2583</v>
      </c>
    </row>
    <row r="1035" spans="1:31" x14ac:dyDescent="0.2">
      <c r="A1035" t="s">
        <v>31</v>
      </c>
      <c r="B1035">
        <v>2024</v>
      </c>
      <c r="C1035">
        <v>10</v>
      </c>
      <c r="D1035" s="1">
        <v>45380</v>
      </c>
      <c r="E1035" t="s">
        <v>1558</v>
      </c>
      <c r="F1035" t="s">
        <v>2393</v>
      </c>
      <c r="G1035" t="s">
        <v>2562</v>
      </c>
      <c r="H1035" t="s">
        <v>36</v>
      </c>
      <c r="I1035" t="s">
        <v>36</v>
      </c>
      <c r="J1035" t="s">
        <v>37</v>
      </c>
      <c r="K1035">
        <v>182</v>
      </c>
      <c r="L1035">
        <v>6</v>
      </c>
      <c r="M1035">
        <v>186</v>
      </c>
      <c r="N1035">
        <v>3</v>
      </c>
      <c r="O1035" t="s">
        <v>36</v>
      </c>
      <c r="P1035" t="s">
        <v>38</v>
      </c>
      <c r="Q1035">
        <v>0</v>
      </c>
      <c r="R1035">
        <v>7</v>
      </c>
      <c r="S1035" t="s">
        <v>835</v>
      </c>
      <c r="T1035" t="s">
        <v>1279</v>
      </c>
      <c r="U1035" t="s">
        <v>146</v>
      </c>
      <c r="V1035" t="s">
        <v>1193</v>
      </c>
      <c r="W1035" t="s">
        <v>819</v>
      </c>
      <c r="X1035" t="s">
        <v>2466</v>
      </c>
      <c r="Y1035" t="s">
        <v>45</v>
      </c>
      <c r="Z1035">
        <v>20</v>
      </c>
      <c r="AA1035">
        <v>6</v>
      </c>
      <c r="AB1035" t="s">
        <v>46</v>
      </c>
      <c r="AC1035" t="s">
        <v>47</v>
      </c>
      <c r="AD1035" t="s">
        <v>2584</v>
      </c>
      <c r="AE1035" t="s">
        <v>2585</v>
      </c>
    </row>
    <row r="1036" spans="1:31" x14ac:dyDescent="0.2">
      <c r="A1036" t="s">
        <v>31</v>
      </c>
      <c r="B1036">
        <v>2024</v>
      </c>
      <c r="C1036">
        <v>11</v>
      </c>
      <c r="D1036" s="1">
        <v>45381</v>
      </c>
      <c r="E1036" t="s">
        <v>2383</v>
      </c>
      <c r="F1036" t="s">
        <v>2384</v>
      </c>
      <c r="G1036" t="s">
        <v>2213</v>
      </c>
      <c r="H1036" t="s">
        <v>2080</v>
      </c>
      <c r="I1036" t="s">
        <v>2213</v>
      </c>
      <c r="J1036" t="s">
        <v>54</v>
      </c>
      <c r="K1036">
        <v>199</v>
      </c>
      <c r="L1036">
        <v>8</v>
      </c>
      <c r="M1036">
        <v>178</v>
      </c>
      <c r="N1036">
        <v>5</v>
      </c>
      <c r="O1036" t="s">
        <v>2213</v>
      </c>
      <c r="P1036" t="s">
        <v>38</v>
      </c>
      <c r="Q1036">
        <v>21</v>
      </c>
      <c r="R1036">
        <v>0</v>
      </c>
      <c r="S1036" t="s">
        <v>2586</v>
      </c>
      <c r="T1036" t="s">
        <v>1553</v>
      </c>
      <c r="U1036" t="s">
        <v>455</v>
      </c>
      <c r="V1036" t="s">
        <v>1197</v>
      </c>
      <c r="W1036" t="s">
        <v>2567</v>
      </c>
      <c r="X1036" t="s">
        <v>2380</v>
      </c>
      <c r="Y1036" t="s">
        <v>45</v>
      </c>
      <c r="Z1036">
        <v>20</v>
      </c>
      <c r="AA1036">
        <v>6</v>
      </c>
      <c r="AB1036" t="s">
        <v>46</v>
      </c>
      <c r="AC1036" t="s">
        <v>47</v>
      </c>
      <c r="AD1036" t="s">
        <v>2587</v>
      </c>
      <c r="AE1036" t="s">
        <v>2588</v>
      </c>
    </row>
    <row r="1037" spans="1:31" x14ac:dyDescent="0.2">
      <c r="A1037" t="s">
        <v>31</v>
      </c>
      <c r="B1037">
        <v>2024</v>
      </c>
      <c r="C1037">
        <v>12</v>
      </c>
      <c r="D1037" s="1">
        <v>45382</v>
      </c>
      <c r="E1037" t="s">
        <v>458</v>
      </c>
      <c r="F1037" t="s">
        <v>2115</v>
      </c>
      <c r="G1037" t="s">
        <v>968</v>
      </c>
      <c r="H1037" t="s">
        <v>2214</v>
      </c>
      <c r="I1037" t="s">
        <v>968</v>
      </c>
      <c r="J1037" t="s">
        <v>54</v>
      </c>
      <c r="K1037">
        <v>162</v>
      </c>
      <c r="L1037">
        <v>8</v>
      </c>
      <c r="M1037">
        <v>168</v>
      </c>
      <c r="N1037">
        <v>3</v>
      </c>
      <c r="O1037" t="s">
        <v>2214</v>
      </c>
      <c r="P1037" t="s">
        <v>38</v>
      </c>
      <c r="Q1037">
        <v>0</v>
      </c>
      <c r="R1037">
        <v>7</v>
      </c>
      <c r="S1037" t="s">
        <v>1169</v>
      </c>
      <c r="T1037" t="s">
        <v>40</v>
      </c>
      <c r="U1037" t="s">
        <v>1728</v>
      </c>
      <c r="V1037" t="s">
        <v>939</v>
      </c>
      <c r="W1037" t="s">
        <v>72</v>
      </c>
      <c r="X1037" t="s">
        <v>2386</v>
      </c>
      <c r="Y1037" t="s">
        <v>45</v>
      </c>
      <c r="Z1037">
        <v>20</v>
      </c>
      <c r="AA1037">
        <v>6</v>
      </c>
      <c r="AB1037" t="s">
        <v>46</v>
      </c>
      <c r="AC1037" t="s">
        <v>47</v>
      </c>
      <c r="AD1037" t="s">
        <v>2589</v>
      </c>
      <c r="AE1037" t="s">
        <v>2590</v>
      </c>
    </row>
    <row r="1038" spans="1:31" x14ac:dyDescent="0.2">
      <c r="A1038" t="s">
        <v>31</v>
      </c>
      <c r="B1038">
        <v>2024</v>
      </c>
      <c r="C1038">
        <v>13</v>
      </c>
      <c r="D1038" s="1">
        <v>45382</v>
      </c>
      <c r="E1038" t="s">
        <v>800</v>
      </c>
      <c r="F1038" t="s">
        <v>2591</v>
      </c>
      <c r="G1038" t="s">
        <v>1820</v>
      </c>
      <c r="H1038" t="s">
        <v>53</v>
      </c>
      <c r="I1038" t="s">
        <v>1820</v>
      </c>
      <c r="J1038" t="s">
        <v>54</v>
      </c>
      <c r="K1038">
        <v>191</v>
      </c>
      <c r="L1038">
        <v>5</v>
      </c>
      <c r="M1038">
        <v>171</v>
      </c>
      <c r="N1038">
        <v>6</v>
      </c>
      <c r="O1038" t="s">
        <v>1820</v>
      </c>
      <c r="P1038" t="s">
        <v>38</v>
      </c>
      <c r="Q1038">
        <v>20</v>
      </c>
      <c r="R1038">
        <v>0</v>
      </c>
      <c r="S1038" t="s">
        <v>1901</v>
      </c>
      <c r="T1038" t="s">
        <v>1772</v>
      </c>
      <c r="U1038" t="s">
        <v>312</v>
      </c>
      <c r="V1038" t="s">
        <v>2233</v>
      </c>
      <c r="W1038" t="s">
        <v>463</v>
      </c>
      <c r="X1038" t="s">
        <v>2473</v>
      </c>
      <c r="Y1038" t="s">
        <v>45</v>
      </c>
      <c r="Z1038">
        <v>20</v>
      </c>
      <c r="AA1038">
        <v>6</v>
      </c>
      <c r="AB1038" t="s">
        <v>46</v>
      </c>
      <c r="AC1038" t="s">
        <v>47</v>
      </c>
      <c r="AD1038" t="s">
        <v>2592</v>
      </c>
      <c r="AE1038" t="s">
        <v>2593</v>
      </c>
    </row>
    <row r="1039" spans="1:31" x14ac:dyDescent="0.2">
      <c r="A1039" t="s">
        <v>31</v>
      </c>
      <c r="B1039">
        <v>2024</v>
      </c>
      <c r="C1039">
        <v>14</v>
      </c>
      <c r="D1039" s="1">
        <v>45383</v>
      </c>
      <c r="E1039" t="s">
        <v>85</v>
      </c>
      <c r="F1039" t="s">
        <v>2075</v>
      </c>
      <c r="G1039" t="s">
        <v>87</v>
      </c>
      <c r="H1039" t="s">
        <v>66</v>
      </c>
      <c r="I1039" t="s">
        <v>66</v>
      </c>
      <c r="J1039" t="s">
        <v>37</v>
      </c>
      <c r="K1039">
        <v>125</v>
      </c>
      <c r="L1039">
        <v>9</v>
      </c>
      <c r="M1039">
        <v>127</v>
      </c>
      <c r="N1039">
        <v>4</v>
      </c>
      <c r="O1039" t="s">
        <v>66</v>
      </c>
      <c r="P1039" t="s">
        <v>38</v>
      </c>
      <c r="Q1039">
        <v>0</v>
      </c>
      <c r="R1039">
        <v>6</v>
      </c>
      <c r="S1039" t="s">
        <v>1335</v>
      </c>
      <c r="T1039" t="s">
        <v>1279</v>
      </c>
      <c r="U1039" t="s">
        <v>2219</v>
      </c>
      <c r="V1039" t="s">
        <v>1417</v>
      </c>
      <c r="W1039" t="s">
        <v>819</v>
      </c>
      <c r="X1039" t="s">
        <v>2466</v>
      </c>
      <c r="Y1039" t="s">
        <v>45</v>
      </c>
      <c r="Z1039">
        <v>20</v>
      </c>
      <c r="AA1039">
        <v>6</v>
      </c>
      <c r="AB1039" t="s">
        <v>46</v>
      </c>
      <c r="AC1039" t="s">
        <v>47</v>
      </c>
      <c r="AD1039" t="s">
        <v>2594</v>
      </c>
      <c r="AE1039" t="s">
        <v>2595</v>
      </c>
    </row>
    <row r="1040" spans="1:31" x14ac:dyDescent="0.2">
      <c r="A1040" t="s">
        <v>31</v>
      </c>
      <c r="B1040">
        <v>2024</v>
      </c>
      <c r="C1040">
        <v>15</v>
      </c>
      <c r="D1040" s="1">
        <v>45384</v>
      </c>
      <c r="E1040" t="s">
        <v>1558</v>
      </c>
      <c r="F1040" t="s">
        <v>2393</v>
      </c>
      <c r="G1040" t="s">
        <v>2213</v>
      </c>
      <c r="H1040" t="s">
        <v>2562</v>
      </c>
      <c r="I1040" t="s">
        <v>2562</v>
      </c>
      <c r="J1040" t="s">
        <v>37</v>
      </c>
      <c r="K1040">
        <v>181</v>
      </c>
      <c r="L1040">
        <v>5</v>
      </c>
      <c r="M1040">
        <v>153</v>
      </c>
      <c r="N1040">
        <v>10</v>
      </c>
      <c r="O1040" t="s">
        <v>2213</v>
      </c>
      <c r="P1040" t="s">
        <v>38</v>
      </c>
      <c r="Q1040">
        <v>28</v>
      </c>
      <c r="R1040">
        <v>0</v>
      </c>
      <c r="S1040" t="s">
        <v>2586</v>
      </c>
      <c r="T1040" t="s">
        <v>1553</v>
      </c>
      <c r="U1040" t="s">
        <v>455</v>
      </c>
      <c r="V1040" t="s">
        <v>621</v>
      </c>
      <c r="W1040" t="s">
        <v>2567</v>
      </c>
      <c r="X1040" t="s">
        <v>2380</v>
      </c>
      <c r="Y1040" t="s">
        <v>45</v>
      </c>
      <c r="Z1040">
        <v>20</v>
      </c>
      <c r="AA1040">
        <v>6</v>
      </c>
      <c r="AB1040" t="s">
        <v>46</v>
      </c>
      <c r="AC1040" t="s">
        <v>47</v>
      </c>
      <c r="AD1040" t="s">
        <v>2596</v>
      </c>
      <c r="AE1040" t="s">
        <v>2597</v>
      </c>
    </row>
    <row r="1041" spans="1:31" x14ac:dyDescent="0.2">
      <c r="A1041" t="s">
        <v>31</v>
      </c>
      <c r="B1041">
        <v>2024</v>
      </c>
      <c r="C1041">
        <v>16</v>
      </c>
      <c r="D1041" s="1">
        <v>45385</v>
      </c>
      <c r="E1041" t="s">
        <v>800</v>
      </c>
      <c r="F1041" t="s">
        <v>2591</v>
      </c>
      <c r="G1041" t="s">
        <v>36</v>
      </c>
      <c r="H1041" t="s">
        <v>1820</v>
      </c>
      <c r="I1041" t="s">
        <v>36</v>
      </c>
      <c r="J1041" t="s">
        <v>54</v>
      </c>
      <c r="K1041">
        <v>272</v>
      </c>
      <c r="L1041">
        <v>7</v>
      </c>
      <c r="M1041">
        <v>166</v>
      </c>
      <c r="N1041">
        <v>10</v>
      </c>
      <c r="O1041" t="s">
        <v>36</v>
      </c>
      <c r="P1041" t="s">
        <v>38</v>
      </c>
      <c r="Q1041">
        <v>106</v>
      </c>
      <c r="R1041">
        <v>0</v>
      </c>
      <c r="S1041" t="s">
        <v>835</v>
      </c>
      <c r="T1041" t="s">
        <v>1772</v>
      </c>
      <c r="U1041" t="s">
        <v>2228</v>
      </c>
      <c r="V1041" t="s">
        <v>1210</v>
      </c>
      <c r="W1041" t="s">
        <v>312</v>
      </c>
      <c r="X1041" t="s">
        <v>2473</v>
      </c>
      <c r="Y1041" t="s">
        <v>45</v>
      </c>
      <c r="Z1041">
        <v>20</v>
      </c>
      <c r="AA1041">
        <v>6</v>
      </c>
      <c r="AB1041" t="s">
        <v>46</v>
      </c>
      <c r="AC1041" t="s">
        <v>47</v>
      </c>
      <c r="AD1041" t="s">
        <v>2598</v>
      </c>
      <c r="AE1041" t="s">
        <v>2599</v>
      </c>
    </row>
    <row r="1042" spans="1:31" x14ac:dyDescent="0.2">
      <c r="A1042" t="s">
        <v>31</v>
      </c>
      <c r="B1042">
        <v>2024</v>
      </c>
      <c r="C1042">
        <v>17</v>
      </c>
      <c r="D1042" s="1">
        <v>45386</v>
      </c>
      <c r="E1042" t="s">
        <v>458</v>
      </c>
      <c r="F1042" t="s">
        <v>2115</v>
      </c>
      <c r="G1042" t="s">
        <v>2214</v>
      </c>
      <c r="H1042" t="s">
        <v>2080</v>
      </c>
      <c r="I1042" t="s">
        <v>2080</v>
      </c>
      <c r="J1042" t="s">
        <v>37</v>
      </c>
      <c r="K1042">
        <v>199</v>
      </c>
      <c r="L1042">
        <v>4</v>
      </c>
      <c r="M1042">
        <v>200</v>
      </c>
      <c r="N1042">
        <v>7</v>
      </c>
      <c r="O1042" t="s">
        <v>2080</v>
      </c>
      <c r="P1042" t="s">
        <v>38</v>
      </c>
      <c r="Q1042">
        <v>0</v>
      </c>
      <c r="R1042">
        <v>3</v>
      </c>
      <c r="S1042" t="s">
        <v>2600</v>
      </c>
      <c r="T1042" t="s">
        <v>40</v>
      </c>
      <c r="U1042" t="s">
        <v>989</v>
      </c>
      <c r="V1042" t="s">
        <v>642</v>
      </c>
      <c r="W1042" t="s">
        <v>939</v>
      </c>
      <c r="X1042" t="s">
        <v>2386</v>
      </c>
      <c r="Y1042" t="s">
        <v>45</v>
      </c>
      <c r="Z1042">
        <v>20</v>
      </c>
      <c r="AA1042">
        <v>6</v>
      </c>
      <c r="AB1042" t="s">
        <v>46</v>
      </c>
      <c r="AC1042" t="s">
        <v>47</v>
      </c>
      <c r="AD1042" t="s">
        <v>2601</v>
      </c>
      <c r="AE1042" t="s">
        <v>2602</v>
      </c>
    </row>
    <row r="1043" spans="1:31" x14ac:dyDescent="0.2">
      <c r="A1043" t="s">
        <v>31</v>
      </c>
      <c r="B1043">
        <v>2024</v>
      </c>
      <c r="C1043">
        <v>18</v>
      </c>
      <c r="D1043" s="1">
        <v>45387</v>
      </c>
      <c r="E1043" t="s">
        <v>101</v>
      </c>
      <c r="F1043" t="s">
        <v>2389</v>
      </c>
      <c r="G1043" t="s">
        <v>53</v>
      </c>
      <c r="H1043" t="s">
        <v>968</v>
      </c>
      <c r="I1043" t="s">
        <v>968</v>
      </c>
      <c r="J1043" t="s">
        <v>37</v>
      </c>
      <c r="K1043">
        <v>165</v>
      </c>
      <c r="L1043">
        <v>5</v>
      </c>
      <c r="M1043">
        <v>166</v>
      </c>
      <c r="N1043">
        <v>4</v>
      </c>
      <c r="O1043" t="s">
        <v>968</v>
      </c>
      <c r="P1043" t="s">
        <v>38</v>
      </c>
      <c r="Q1043">
        <v>0</v>
      </c>
      <c r="R1043">
        <v>6</v>
      </c>
      <c r="S1043" t="s">
        <v>2249</v>
      </c>
      <c r="T1043" t="s">
        <v>1279</v>
      </c>
      <c r="U1043" t="s">
        <v>1193</v>
      </c>
      <c r="V1043" t="s">
        <v>1417</v>
      </c>
      <c r="W1043" t="s">
        <v>819</v>
      </c>
      <c r="X1043" t="s">
        <v>2466</v>
      </c>
      <c r="Y1043" t="s">
        <v>45</v>
      </c>
      <c r="Z1043">
        <v>20</v>
      </c>
      <c r="AA1043">
        <v>6</v>
      </c>
      <c r="AB1043" t="s">
        <v>46</v>
      </c>
      <c r="AC1043" t="s">
        <v>47</v>
      </c>
      <c r="AD1043" t="s">
        <v>2603</v>
      </c>
      <c r="AE1043" t="s">
        <v>2604</v>
      </c>
    </row>
    <row r="1044" spans="1:31" x14ac:dyDescent="0.2">
      <c r="A1044" t="s">
        <v>31</v>
      </c>
      <c r="B1044">
        <v>2024</v>
      </c>
      <c r="C1044">
        <v>19</v>
      </c>
      <c r="D1044" s="1">
        <v>45388</v>
      </c>
      <c r="E1044" t="s">
        <v>95</v>
      </c>
      <c r="F1044" t="s">
        <v>2445</v>
      </c>
      <c r="G1044" t="s">
        <v>2562</v>
      </c>
      <c r="H1044" t="s">
        <v>66</v>
      </c>
      <c r="I1044" t="s">
        <v>66</v>
      </c>
      <c r="J1044" t="s">
        <v>37</v>
      </c>
      <c r="K1044">
        <v>183</v>
      </c>
      <c r="L1044">
        <v>3</v>
      </c>
      <c r="M1044">
        <v>189</v>
      </c>
      <c r="N1044">
        <v>4</v>
      </c>
      <c r="O1044" t="s">
        <v>66</v>
      </c>
      <c r="P1044" t="s">
        <v>38</v>
      </c>
      <c r="Q1044">
        <v>0</v>
      </c>
      <c r="R1044">
        <v>6</v>
      </c>
      <c r="S1044" t="s">
        <v>1599</v>
      </c>
      <c r="T1044" t="s">
        <v>1553</v>
      </c>
      <c r="U1044" t="s">
        <v>2567</v>
      </c>
      <c r="V1044" t="s">
        <v>982</v>
      </c>
      <c r="W1044" t="s">
        <v>455</v>
      </c>
      <c r="X1044" t="s">
        <v>2380</v>
      </c>
      <c r="Y1044" t="s">
        <v>45</v>
      </c>
      <c r="Z1044">
        <v>20</v>
      </c>
      <c r="AA1044">
        <v>6</v>
      </c>
      <c r="AB1044" t="s">
        <v>46</v>
      </c>
      <c r="AC1044" t="s">
        <v>47</v>
      </c>
      <c r="AD1044" t="s">
        <v>2605</v>
      </c>
      <c r="AE1044" t="s">
        <v>2606</v>
      </c>
    </row>
    <row r="1045" spans="1:31" x14ac:dyDescent="0.2">
      <c r="A1045" t="s">
        <v>31</v>
      </c>
      <c r="B1045">
        <v>2024</v>
      </c>
      <c r="C1045">
        <v>20</v>
      </c>
      <c r="D1045" s="1">
        <v>45389</v>
      </c>
      <c r="E1045" t="s">
        <v>85</v>
      </c>
      <c r="F1045" t="s">
        <v>2075</v>
      </c>
      <c r="G1045" t="s">
        <v>87</v>
      </c>
      <c r="H1045" t="s">
        <v>1820</v>
      </c>
      <c r="I1045" t="s">
        <v>1820</v>
      </c>
      <c r="J1045" t="s">
        <v>37</v>
      </c>
      <c r="K1045">
        <v>234</v>
      </c>
      <c r="L1045">
        <v>5</v>
      </c>
      <c r="M1045">
        <v>205</v>
      </c>
      <c r="N1045">
        <v>8</v>
      </c>
      <c r="O1045" t="s">
        <v>87</v>
      </c>
      <c r="P1045" t="s">
        <v>38</v>
      </c>
      <c r="Q1045">
        <v>29</v>
      </c>
      <c r="R1045">
        <v>0</v>
      </c>
      <c r="S1045" t="s">
        <v>2607</v>
      </c>
      <c r="T1045" t="s">
        <v>1772</v>
      </c>
      <c r="U1045" t="s">
        <v>312</v>
      </c>
      <c r="V1045" t="s">
        <v>1210</v>
      </c>
      <c r="W1045" t="s">
        <v>463</v>
      </c>
      <c r="X1045" t="s">
        <v>2473</v>
      </c>
      <c r="Y1045" t="s">
        <v>45</v>
      </c>
      <c r="Z1045">
        <v>20</v>
      </c>
      <c r="AA1045">
        <v>6</v>
      </c>
      <c r="AB1045" t="s">
        <v>46</v>
      </c>
      <c r="AC1045" t="s">
        <v>47</v>
      </c>
      <c r="AD1045" t="s">
        <v>2608</v>
      </c>
      <c r="AE1045" t="s">
        <v>2609</v>
      </c>
    </row>
    <row r="1046" spans="1:31" x14ac:dyDescent="0.2">
      <c r="A1046" t="s">
        <v>31</v>
      </c>
      <c r="B1046">
        <v>2024</v>
      </c>
      <c r="C1046">
        <v>21</v>
      </c>
      <c r="D1046" s="1">
        <v>45389</v>
      </c>
      <c r="E1046" t="s">
        <v>2383</v>
      </c>
      <c r="F1046" t="s">
        <v>2384</v>
      </c>
      <c r="G1046" t="s">
        <v>2213</v>
      </c>
      <c r="H1046" t="s">
        <v>2214</v>
      </c>
      <c r="I1046" t="s">
        <v>2213</v>
      </c>
      <c r="J1046" t="s">
        <v>54</v>
      </c>
      <c r="K1046">
        <v>163</v>
      </c>
      <c r="L1046">
        <v>5</v>
      </c>
      <c r="M1046">
        <v>130</v>
      </c>
      <c r="N1046">
        <v>10</v>
      </c>
      <c r="O1046" t="s">
        <v>2213</v>
      </c>
      <c r="P1046" t="s">
        <v>38</v>
      </c>
      <c r="Q1046">
        <v>33</v>
      </c>
      <c r="R1046">
        <v>0</v>
      </c>
      <c r="S1046" t="s">
        <v>2610</v>
      </c>
      <c r="T1046" t="s">
        <v>40</v>
      </c>
      <c r="U1046" t="s">
        <v>969</v>
      </c>
      <c r="V1046" t="s">
        <v>939</v>
      </c>
      <c r="W1046" t="s">
        <v>989</v>
      </c>
      <c r="X1046" t="s">
        <v>2386</v>
      </c>
      <c r="Y1046" t="s">
        <v>45</v>
      </c>
      <c r="Z1046">
        <v>20</v>
      </c>
      <c r="AA1046">
        <v>6</v>
      </c>
      <c r="AB1046" t="s">
        <v>46</v>
      </c>
      <c r="AC1046" t="s">
        <v>47</v>
      </c>
      <c r="AD1046" t="s">
        <v>2611</v>
      </c>
      <c r="AE1046" t="s">
        <v>2612</v>
      </c>
    </row>
    <row r="1047" spans="1:31" x14ac:dyDescent="0.2">
      <c r="A1047" t="s">
        <v>31</v>
      </c>
      <c r="B1047">
        <v>2024</v>
      </c>
      <c r="C1047">
        <v>22</v>
      </c>
      <c r="D1047" s="1">
        <v>45390</v>
      </c>
      <c r="E1047" t="s">
        <v>108</v>
      </c>
      <c r="F1047" t="s">
        <v>2072</v>
      </c>
      <c r="G1047" t="s">
        <v>36</v>
      </c>
      <c r="H1047" t="s">
        <v>53</v>
      </c>
      <c r="I1047" t="s">
        <v>53</v>
      </c>
      <c r="J1047" t="s">
        <v>37</v>
      </c>
      <c r="K1047">
        <v>137</v>
      </c>
      <c r="L1047">
        <v>9</v>
      </c>
      <c r="M1047">
        <v>141</v>
      </c>
      <c r="N1047">
        <v>3</v>
      </c>
      <c r="O1047" t="s">
        <v>53</v>
      </c>
      <c r="P1047" t="s">
        <v>38</v>
      </c>
      <c r="Q1047">
        <v>0</v>
      </c>
      <c r="R1047">
        <v>7</v>
      </c>
      <c r="S1047" t="s">
        <v>802</v>
      </c>
      <c r="T1047" t="s">
        <v>1279</v>
      </c>
      <c r="U1047" t="s">
        <v>146</v>
      </c>
      <c r="V1047" t="s">
        <v>2219</v>
      </c>
      <c r="W1047" t="s">
        <v>819</v>
      </c>
      <c r="X1047" t="s">
        <v>2466</v>
      </c>
      <c r="Y1047" t="s">
        <v>45</v>
      </c>
      <c r="Z1047">
        <v>20</v>
      </c>
      <c r="AA1047">
        <v>6</v>
      </c>
      <c r="AB1047" t="s">
        <v>46</v>
      </c>
      <c r="AC1047" t="s">
        <v>47</v>
      </c>
      <c r="AD1047" t="s">
        <v>2613</v>
      </c>
      <c r="AE1047" t="s">
        <v>2614</v>
      </c>
    </row>
    <row r="1048" spans="1:31" x14ac:dyDescent="0.2">
      <c r="A1048" t="s">
        <v>31</v>
      </c>
      <c r="B1048">
        <v>2024</v>
      </c>
      <c r="C1048">
        <v>23</v>
      </c>
      <c r="D1048" s="1">
        <v>45391</v>
      </c>
      <c r="E1048" t="s">
        <v>2565</v>
      </c>
      <c r="F1048" t="s">
        <v>2566</v>
      </c>
      <c r="G1048" t="s">
        <v>968</v>
      </c>
      <c r="H1048" t="s">
        <v>2080</v>
      </c>
      <c r="I1048" t="s">
        <v>2080</v>
      </c>
      <c r="J1048" t="s">
        <v>37</v>
      </c>
      <c r="K1048">
        <v>182</v>
      </c>
      <c r="L1048">
        <v>9</v>
      </c>
      <c r="M1048">
        <v>180</v>
      </c>
      <c r="N1048">
        <v>6</v>
      </c>
      <c r="O1048" t="s">
        <v>968</v>
      </c>
      <c r="P1048" t="s">
        <v>38</v>
      </c>
      <c r="Q1048">
        <v>2</v>
      </c>
      <c r="R1048">
        <v>0</v>
      </c>
      <c r="S1048" t="s">
        <v>2615</v>
      </c>
      <c r="T1048" t="s">
        <v>1553</v>
      </c>
      <c r="U1048" t="s">
        <v>1197</v>
      </c>
      <c r="V1048" t="s">
        <v>621</v>
      </c>
      <c r="W1048" t="s">
        <v>2567</v>
      </c>
      <c r="X1048" t="s">
        <v>2380</v>
      </c>
      <c r="Y1048" t="s">
        <v>45</v>
      </c>
      <c r="Z1048">
        <v>20</v>
      </c>
      <c r="AA1048">
        <v>6</v>
      </c>
      <c r="AB1048" t="s">
        <v>46</v>
      </c>
      <c r="AC1048" t="s">
        <v>47</v>
      </c>
      <c r="AD1048" t="s">
        <v>2616</v>
      </c>
      <c r="AE1048" t="s">
        <v>2602</v>
      </c>
    </row>
    <row r="1049" spans="1:31" x14ac:dyDescent="0.2">
      <c r="A1049" t="s">
        <v>31</v>
      </c>
      <c r="B1049">
        <v>2024</v>
      </c>
      <c r="C1049">
        <v>24</v>
      </c>
      <c r="D1049" s="1">
        <v>45392</v>
      </c>
      <c r="E1049" t="s">
        <v>95</v>
      </c>
      <c r="F1049" t="s">
        <v>2445</v>
      </c>
      <c r="G1049" t="s">
        <v>66</v>
      </c>
      <c r="H1049" t="s">
        <v>2214</v>
      </c>
      <c r="I1049" t="s">
        <v>2214</v>
      </c>
      <c r="J1049" t="s">
        <v>37</v>
      </c>
      <c r="K1049">
        <v>196</v>
      </c>
      <c r="L1049">
        <v>3</v>
      </c>
      <c r="M1049">
        <v>199</v>
      </c>
      <c r="N1049">
        <v>7</v>
      </c>
      <c r="O1049" t="s">
        <v>2214</v>
      </c>
      <c r="P1049" t="s">
        <v>38</v>
      </c>
      <c r="Q1049">
        <v>0</v>
      </c>
      <c r="R1049">
        <v>3</v>
      </c>
      <c r="S1049" t="s">
        <v>1562</v>
      </c>
      <c r="T1049" t="s">
        <v>1772</v>
      </c>
      <c r="U1049" t="s">
        <v>312</v>
      </c>
      <c r="V1049" t="s">
        <v>2233</v>
      </c>
      <c r="W1049" t="s">
        <v>463</v>
      </c>
      <c r="X1049" t="s">
        <v>2473</v>
      </c>
      <c r="Y1049" t="s">
        <v>45</v>
      </c>
      <c r="Z1049">
        <v>20</v>
      </c>
      <c r="AA1049">
        <v>6</v>
      </c>
      <c r="AB1049" t="s">
        <v>46</v>
      </c>
      <c r="AC1049" t="s">
        <v>47</v>
      </c>
      <c r="AD1049" t="s">
        <v>2617</v>
      </c>
      <c r="AE1049" t="s">
        <v>2618</v>
      </c>
    </row>
    <row r="1050" spans="1:31" x14ac:dyDescent="0.2">
      <c r="A1050" t="s">
        <v>31</v>
      </c>
      <c r="B1050">
        <v>2024</v>
      </c>
      <c r="C1050">
        <v>25</v>
      </c>
      <c r="D1050" s="1">
        <v>45393</v>
      </c>
      <c r="E1050" t="s">
        <v>85</v>
      </c>
      <c r="F1050" t="s">
        <v>2075</v>
      </c>
      <c r="G1050" t="s">
        <v>2562</v>
      </c>
      <c r="H1050" t="s">
        <v>87</v>
      </c>
      <c r="I1050" t="s">
        <v>87</v>
      </c>
      <c r="J1050" t="s">
        <v>37</v>
      </c>
      <c r="K1050">
        <v>196</v>
      </c>
      <c r="L1050">
        <v>8</v>
      </c>
      <c r="M1050">
        <v>199</v>
      </c>
      <c r="N1050">
        <v>3</v>
      </c>
      <c r="O1050" t="s">
        <v>87</v>
      </c>
      <c r="P1050" t="s">
        <v>38</v>
      </c>
      <c r="Q1050">
        <v>0</v>
      </c>
      <c r="R1050">
        <v>7</v>
      </c>
      <c r="S1050" t="s">
        <v>1571</v>
      </c>
      <c r="T1050" t="s">
        <v>40</v>
      </c>
      <c r="U1050" t="s">
        <v>989</v>
      </c>
      <c r="V1050" t="s">
        <v>642</v>
      </c>
      <c r="W1050" t="s">
        <v>939</v>
      </c>
      <c r="X1050" t="s">
        <v>2386</v>
      </c>
      <c r="Y1050" t="s">
        <v>45</v>
      </c>
      <c r="Z1050">
        <v>20</v>
      </c>
      <c r="AA1050">
        <v>6</v>
      </c>
      <c r="AB1050" t="s">
        <v>46</v>
      </c>
      <c r="AC1050" t="s">
        <v>47</v>
      </c>
      <c r="AD1050" t="s">
        <v>2619</v>
      </c>
      <c r="AE1050" t="s">
        <v>2620</v>
      </c>
    </row>
    <row r="1051" spans="1:31" x14ac:dyDescent="0.2">
      <c r="A1051" t="s">
        <v>31</v>
      </c>
      <c r="B1051">
        <v>2024</v>
      </c>
      <c r="C1051">
        <v>26</v>
      </c>
      <c r="D1051" s="1">
        <v>45394</v>
      </c>
      <c r="E1051" t="s">
        <v>2383</v>
      </c>
      <c r="F1051" t="s">
        <v>2384</v>
      </c>
      <c r="G1051" t="s">
        <v>2213</v>
      </c>
      <c r="H1051" t="s">
        <v>1820</v>
      </c>
      <c r="I1051" t="s">
        <v>2213</v>
      </c>
      <c r="J1051" t="s">
        <v>54</v>
      </c>
      <c r="K1051">
        <v>167</v>
      </c>
      <c r="L1051">
        <v>7</v>
      </c>
      <c r="M1051">
        <v>170</v>
      </c>
      <c r="N1051">
        <v>4</v>
      </c>
      <c r="O1051" t="s">
        <v>1820</v>
      </c>
      <c r="P1051" t="s">
        <v>38</v>
      </c>
      <c r="Q1051">
        <v>0</v>
      </c>
      <c r="R1051">
        <v>6</v>
      </c>
      <c r="S1051" t="s">
        <v>1789</v>
      </c>
      <c r="T1051" t="s">
        <v>1279</v>
      </c>
      <c r="U1051" t="s">
        <v>1193</v>
      </c>
      <c r="V1051" t="s">
        <v>1417</v>
      </c>
      <c r="W1051" t="s">
        <v>819</v>
      </c>
      <c r="X1051" t="s">
        <v>2466</v>
      </c>
      <c r="Y1051" t="s">
        <v>45</v>
      </c>
      <c r="Z1051">
        <v>20</v>
      </c>
      <c r="AA1051">
        <v>6</v>
      </c>
      <c r="AB1051" t="s">
        <v>46</v>
      </c>
      <c r="AC1051" t="s">
        <v>47</v>
      </c>
      <c r="AD1051" t="s">
        <v>2621</v>
      </c>
      <c r="AE1051" t="s">
        <v>2622</v>
      </c>
    </row>
    <row r="1052" spans="1:31" x14ac:dyDescent="0.2">
      <c r="A1052" t="s">
        <v>31</v>
      </c>
      <c r="B1052">
        <v>2024</v>
      </c>
      <c r="C1052">
        <v>27</v>
      </c>
      <c r="D1052" s="1">
        <v>45395</v>
      </c>
      <c r="E1052" t="s">
        <v>2565</v>
      </c>
      <c r="F1052" t="s">
        <v>2566</v>
      </c>
      <c r="G1052" t="s">
        <v>2080</v>
      </c>
      <c r="H1052" t="s">
        <v>66</v>
      </c>
      <c r="I1052" t="s">
        <v>66</v>
      </c>
      <c r="J1052" t="s">
        <v>37</v>
      </c>
      <c r="K1052">
        <v>147</v>
      </c>
      <c r="L1052">
        <v>8</v>
      </c>
      <c r="M1052">
        <v>152</v>
      </c>
      <c r="N1052">
        <v>7</v>
      </c>
      <c r="O1052" t="s">
        <v>66</v>
      </c>
      <c r="P1052" t="s">
        <v>38</v>
      </c>
      <c r="Q1052">
        <v>0</v>
      </c>
      <c r="R1052">
        <v>3</v>
      </c>
      <c r="S1052" t="s">
        <v>1935</v>
      </c>
      <c r="T1052" t="s">
        <v>1553</v>
      </c>
      <c r="U1052" t="s">
        <v>146</v>
      </c>
      <c r="V1052" t="s">
        <v>982</v>
      </c>
      <c r="W1052" t="s">
        <v>455</v>
      </c>
      <c r="X1052" t="s">
        <v>2380</v>
      </c>
      <c r="Y1052" t="s">
        <v>45</v>
      </c>
      <c r="Z1052">
        <v>20</v>
      </c>
      <c r="AA1052">
        <v>6</v>
      </c>
      <c r="AB1052" t="s">
        <v>46</v>
      </c>
      <c r="AC1052" t="s">
        <v>47</v>
      </c>
      <c r="AD1052" t="s">
        <v>2623</v>
      </c>
      <c r="AE1052" t="s">
        <v>2624</v>
      </c>
    </row>
    <row r="1053" spans="1:31" x14ac:dyDescent="0.2">
      <c r="A1053" t="s">
        <v>31</v>
      </c>
      <c r="B1053">
        <v>2024</v>
      </c>
      <c r="C1053">
        <v>28</v>
      </c>
      <c r="D1053" s="1">
        <v>45396</v>
      </c>
      <c r="E1053" t="s">
        <v>75</v>
      </c>
      <c r="F1053" t="s">
        <v>2368</v>
      </c>
      <c r="G1053" t="s">
        <v>2213</v>
      </c>
      <c r="H1053" t="s">
        <v>36</v>
      </c>
      <c r="I1053" t="s">
        <v>36</v>
      </c>
      <c r="J1053" t="s">
        <v>37</v>
      </c>
      <c r="K1053">
        <v>161</v>
      </c>
      <c r="L1053">
        <v>7</v>
      </c>
      <c r="M1053">
        <v>162</v>
      </c>
      <c r="N1053">
        <v>2</v>
      </c>
      <c r="O1053" t="s">
        <v>36</v>
      </c>
      <c r="P1053" t="s">
        <v>38</v>
      </c>
      <c r="Q1053">
        <v>0</v>
      </c>
      <c r="R1053">
        <v>8</v>
      </c>
      <c r="S1053" t="s">
        <v>2501</v>
      </c>
      <c r="T1053" t="s">
        <v>1461</v>
      </c>
      <c r="U1053" t="s">
        <v>2228</v>
      </c>
      <c r="V1053" t="s">
        <v>2233</v>
      </c>
      <c r="W1053" t="s">
        <v>463</v>
      </c>
      <c r="X1053" t="s">
        <v>2473</v>
      </c>
      <c r="Y1053" t="s">
        <v>45</v>
      </c>
      <c r="Z1053">
        <v>20</v>
      </c>
      <c r="AA1053">
        <v>6</v>
      </c>
      <c r="AB1053" t="s">
        <v>46</v>
      </c>
      <c r="AC1053" t="s">
        <v>47</v>
      </c>
      <c r="AD1053" t="s">
        <v>2625</v>
      </c>
      <c r="AE1053" t="s">
        <v>2626</v>
      </c>
    </row>
    <row r="1054" spans="1:31" x14ac:dyDescent="0.2">
      <c r="A1054" t="s">
        <v>31</v>
      </c>
      <c r="B1054">
        <v>2024</v>
      </c>
      <c r="C1054">
        <v>29</v>
      </c>
      <c r="D1054" s="1">
        <v>45396</v>
      </c>
      <c r="E1054" t="s">
        <v>85</v>
      </c>
      <c r="F1054" t="s">
        <v>2075</v>
      </c>
      <c r="G1054" t="s">
        <v>53</v>
      </c>
      <c r="H1054" t="s">
        <v>87</v>
      </c>
      <c r="I1054" t="s">
        <v>87</v>
      </c>
      <c r="J1054" t="s">
        <v>37</v>
      </c>
      <c r="K1054">
        <v>206</v>
      </c>
      <c r="L1054">
        <v>4</v>
      </c>
      <c r="M1054">
        <v>186</v>
      </c>
      <c r="N1054">
        <v>6</v>
      </c>
      <c r="O1054" t="s">
        <v>53</v>
      </c>
      <c r="P1054" t="s">
        <v>38</v>
      </c>
      <c r="Q1054">
        <v>20</v>
      </c>
      <c r="R1054">
        <v>0</v>
      </c>
      <c r="S1054" t="s">
        <v>2498</v>
      </c>
      <c r="T1054" t="s">
        <v>40</v>
      </c>
      <c r="U1054" t="s">
        <v>989</v>
      </c>
      <c r="V1054" t="s">
        <v>1728</v>
      </c>
      <c r="W1054" t="s">
        <v>939</v>
      </c>
      <c r="X1054" t="s">
        <v>2386</v>
      </c>
      <c r="Y1054" t="s">
        <v>45</v>
      </c>
      <c r="Z1054">
        <v>20</v>
      </c>
      <c r="AA1054">
        <v>6</v>
      </c>
      <c r="AB1054" t="s">
        <v>46</v>
      </c>
      <c r="AC1054" t="s">
        <v>47</v>
      </c>
      <c r="AD1054" t="s">
        <v>2627</v>
      </c>
      <c r="AE1054" t="s">
        <v>2628</v>
      </c>
    </row>
    <row r="1055" spans="1:31" x14ac:dyDescent="0.2">
      <c r="A1055" t="s">
        <v>31</v>
      </c>
      <c r="B1055">
        <v>2024</v>
      </c>
      <c r="C1055">
        <v>30</v>
      </c>
      <c r="D1055" s="1">
        <v>45397</v>
      </c>
      <c r="E1055" t="s">
        <v>1558</v>
      </c>
      <c r="F1055" t="s">
        <v>2393</v>
      </c>
      <c r="G1055" t="s">
        <v>968</v>
      </c>
      <c r="H1055" t="s">
        <v>2562</v>
      </c>
      <c r="I1055" t="s">
        <v>2562</v>
      </c>
      <c r="J1055" t="s">
        <v>37</v>
      </c>
      <c r="K1055">
        <v>287</v>
      </c>
      <c r="L1055">
        <v>3</v>
      </c>
      <c r="M1055">
        <v>262</v>
      </c>
      <c r="N1055">
        <v>7</v>
      </c>
      <c r="O1055" t="s">
        <v>968</v>
      </c>
      <c r="P1055" t="s">
        <v>38</v>
      </c>
      <c r="Q1055">
        <v>25</v>
      </c>
      <c r="R1055">
        <v>0</v>
      </c>
      <c r="S1055" t="s">
        <v>2629</v>
      </c>
      <c r="T1055" t="s">
        <v>1279</v>
      </c>
      <c r="U1055" t="s">
        <v>146</v>
      </c>
      <c r="V1055" t="s">
        <v>1193</v>
      </c>
      <c r="W1055" t="s">
        <v>819</v>
      </c>
      <c r="X1055" t="s">
        <v>2466</v>
      </c>
      <c r="Y1055" t="s">
        <v>45</v>
      </c>
      <c r="Z1055">
        <v>20</v>
      </c>
      <c r="AA1055">
        <v>6</v>
      </c>
      <c r="AB1055" t="s">
        <v>46</v>
      </c>
      <c r="AC1055" t="s">
        <v>47</v>
      </c>
      <c r="AD1055" t="s">
        <v>2630</v>
      </c>
      <c r="AE1055" t="s">
        <v>2631</v>
      </c>
    </row>
    <row r="1056" spans="1:31" x14ac:dyDescent="0.2">
      <c r="A1056" t="s">
        <v>31</v>
      </c>
      <c r="B1056">
        <v>2024</v>
      </c>
      <c r="C1056">
        <v>31</v>
      </c>
      <c r="D1056" s="1">
        <v>45398</v>
      </c>
      <c r="E1056" t="s">
        <v>75</v>
      </c>
      <c r="F1056" t="s">
        <v>2368</v>
      </c>
      <c r="G1056" t="s">
        <v>36</v>
      </c>
      <c r="H1056" t="s">
        <v>66</v>
      </c>
      <c r="I1056" t="s">
        <v>66</v>
      </c>
      <c r="J1056" t="s">
        <v>37</v>
      </c>
      <c r="K1056">
        <v>223</v>
      </c>
      <c r="L1056">
        <v>6</v>
      </c>
      <c r="M1056">
        <v>224</v>
      </c>
      <c r="N1056">
        <v>8</v>
      </c>
      <c r="O1056" t="s">
        <v>66</v>
      </c>
      <c r="P1056" t="s">
        <v>38</v>
      </c>
      <c r="Q1056">
        <v>0</v>
      </c>
      <c r="R1056">
        <v>2</v>
      </c>
      <c r="S1056" t="s">
        <v>1599</v>
      </c>
      <c r="T1056" t="s">
        <v>1461</v>
      </c>
      <c r="U1056" t="s">
        <v>2143</v>
      </c>
      <c r="V1056" t="s">
        <v>1210</v>
      </c>
      <c r="W1056" t="s">
        <v>463</v>
      </c>
      <c r="X1056" t="s">
        <v>2473</v>
      </c>
      <c r="Y1056" t="s">
        <v>45</v>
      </c>
      <c r="Z1056">
        <v>20</v>
      </c>
      <c r="AA1056">
        <v>6</v>
      </c>
      <c r="AB1056" t="s">
        <v>46</v>
      </c>
      <c r="AC1056" t="s">
        <v>47</v>
      </c>
      <c r="AD1056" t="s">
        <v>2632</v>
      </c>
      <c r="AE1056" t="s">
        <v>2633</v>
      </c>
    </row>
    <row r="1057" spans="1:31" x14ac:dyDescent="0.2">
      <c r="A1057" t="s">
        <v>31</v>
      </c>
      <c r="B1057">
        <v>2024</v>
      </c>
      <c r="C1057">
        <v>32</v>
      </c>
      <c r="D1057" s="1">
        <v>45399</v>
      </c>
      <c r="E1057" t="s">
        <v>458</v>
      </c>
      <c r="F1057" t="s">
        <v>2115</v>
      </c>
      <c r="G1057" t="s">
        <v>2214</v>
      </c>
      <c r="H1057" t="s">
        <v>1820</v>
      </c>
      <c r="I1057" t="s">
        <v>1820</v>
      </c>
      <c r="J1057" t="s">
        <v>37</v>
      </c>
      <c r="K1057">
        <v>89</v>
      </c>
      <c r="L1057">
        <v>10</v>
      </c>
      <c r="M1057">
        <v>92</v>
      </c>
      <c r="N1057">
        <v>4</v>
      </c>
      <c r="O1057" t="s">
        <v>1820</v>
      </c>
      <c r="P1057" t="s">
        <v>38</v>
      </c>
      <c r="Q1057">
        <v>0</v>
      </c>
      <c r="R1057">
        <v>6</v>
      </c>
      <c r="S1057" t="s">
        <v>1482</v>
      </c>
      <c r="T1057" t="s">
        <v>1553</v>
      </c>
      <c r="U1057" t="s">
        <v>621</v>
      </c>
      <c r="V1057" t="s">
        <v>939</v>
      </c>
      <c r="W1057" t="s">
        <v>455</v>
      </c>
      <c r="X1057" t="s">
        <v>2380</v>
      </c>
      <c r="Y1057" t="s">
        <v>45</v>
      </c>
      <c r="Z1057">
        <v>20</v>
      </c>
      <c r="AA1057">
        <v>6</v>
      </c>
      <c r="AB1057" t="s">
        <v>46</v>
      </c>
      <c r="AC1057" t="s">
        <v>47</v>
      </c>
      <c r="AD1057" t="s">
        <v>2634</v>
      </c>
      <c r="AE1057" t="s">
        <v>2635</v>
      </c>
    </row>
    <row r="1058" spans="1:31" x14ac:dyDescent="0.2">
      <c r="A1058" t="s">
        <v>31</v>
      </c>
      <c r="B1058">
        <v>2024</v>
      </c>
      <c r="C1058">
        <v>33</v>
      </c>
      <c r="D1058" s="1">
        <v>45400</v>
      </c>
      <c r="E1058" t="s">
        <v>2565</v>
      </c>
      <c r="F1058" t="s">
        <v>2566</v>
      </c>
      <c r="G1058" t="s">
        <v>87</v>
      </c>
      <c r="H1058" t="s">
        <v>2080</v>
      </c>
      <c r="I1058" t="s">
        <v>2080</v>
      </c>
      <c r="J1058" t="s">
        <v>37</v>
      </c>
      <c r="K1058">
        <v>192</v>
      </c>
      <c r="L1058">
        <v>7</v>
      </c>
      <c r="M1058">
        <v>183</v>
      </c>
      <c r="N1058">
        <v>10</v>
      </c>
      <c r="O1058" t="s">
        <v>87</v>
      </c>
      <c r="P1058" t="s">
        <v>38</v>
      </c>
      <c r="Q1058">
        <v>9</v>
      </c>
      <c r="R1058">
        <v>0</v>
      </c>
      <c r="S1058" t="s">
        <v>1571</v>
      </c>
      <c r="T1058" t="s">
        <v>2514</v>
      </c>
      <c r="U1058" t="s">
        <v>969</v>
      </c>
      <c r="V1058" t="s">
        <v>642</v>
      </c>
      <c r="W1058" t="s">
        <v>989</v>
      </c>
      <c r="X1058" t="s">
        <v>2636</v>
      </c>
      <c r="Y1058" t="s">
        <v>45</v>
      </c>
      <c r="Z1058">
        <v>20</v>
      </c>
      <c r="AA1058">
        <v>6</v>
      </c>
      <c r="AB1058" t="s">
        <v>46</v>
      </c>
      <c r="AC1058" t="s">
        <v>47</v>
      </c>
      <c r="AD1058" t="s">
        <v>2637</v>
      </c>
      <c r="AE1058" t="s">
        <v>2638</v>
      </c>
    </row>
    <row r="1059" spans="1:31" x14ac:dyDescent="0.2">
      <c r="A1059" t="s">
        <v>31</v>
      </c>
      <c r="B1059">
        <v>2024</v>
      </c>
      <c r="C1059">
        <v>34</v>
      </c>
      <c r="D1059" s="1">
        <v>45401</v>
      </c>
      <c r="E1059" t="s">
        <v>2383</v>
      </c>
      <c r="F1059" t="s">
        <v>2384</v>
      </c>
      <c r="G1059" t="s">
        <v>53</v>
      </c>
      <c r="H1059" t="s">
        <v>2213</v>
      </c>
      <c r="I1059" t="s">
        <v>2213</v>
      </c>
      <c r="J1059" t="s">
        <v>37</v>
      </c>
      <c r="K1059">
        <v>176</v>
      </c>
      <c r="L1059">
        <v>6</v>
      </c>
      <c r="M1059">
        <v>180</v>
      </c>
      <c r="N1059">
        <v>2</v>
      </c>
      <c r="O1059" t="s">
        <v>2213</v>
      </c>
      <c r="P1059" t="s">
        <v>38</v>
      </c>
      <c r="Q1059">
        <v>0</v>
      </c>
      <c r="R1059">
        <v>8</v>
      </c>
      <c r="S1059" t="s">
        <v>1684</v>
      </c>
      <c r="T1059" t="s">
        <v>1279</v>
      </c>
      <c r="U1059" t="s">
        <v>146</v>
      </c>
      <c r="V1059" t="s">
        <v>1193</v>
      </c>
      <c r="W1059" t="s">
        <v>819</v>
      </c>
      <c r="X1059" t="s">
        <v>2639</v>
      </c>
      <c r="Y1059" t="s">
        <v>45</v>
      </c>
      <c r="Z1059">
        <v>20</v>
      </c>
      <c r="AA1059">
        <v>6</v>
      </c>
      <c r="AB1059" t="s">
        <v>46</v>
      </c>
      <c r="AC1059" t="s">
        <v>47</v>
      </c>
      <c r="AD1059" t="s">
        <v>2640</v>
      </c>
      <c r="AE1059" t="s">
        <v>2641</v>
      </c>
    </row>
    <row r="1060" spans="1:31" x14ac:dyDescent="0.2">
      <c r="A1060" t="s">
        <v>31</v>
      </c>
      <c r="B1060">
        <v>2024</v>
      </c>
      <c r="C1060">
        <v>35</v>
      </c>
      <c r="D1060" s="1">
        <v>45402</v>
      </c>
      <c r="E1060" t="s">
        <v>63</v>
      </c>
      <c r="F1060" t="s">
        <v>2120</v>
      </c>
      <c r="G1060" t="s">
        <v>968</v>
      </c>
      <c r="H1060" t="s">
        <v>1820</v>
      </c>
      <c r="I1060" t="s">
        <v>1820</v>
      </c>
      <c r="J1060" t="s">
        <v>37</v>
      </c>
      <c r="K1060">
        <v>266</v>
      </c>
      <c r="L1060">
        <v>7</v>
      </c>
      <c r="M1060">
        <v>199</v>
      </c>
      <c r="N1060">
        <v>10</v>
      </c>
      <c r="O1060" t="s">
        <v>968</v>
      </c>
      <c r="P1060" t="s">
        <v>38</v>
      </c>
      <c r="Q1060">
        <v>67</v>
      </c>
      <c r="R1060">
        <v>0</v>
      </c>
      <c r="S1060" t="s">
        <v>2629</v>
      </c>
      <c r="T1060" t="s">
        <v>2514</v>
      </c>
      <c r="U1060" t="s">
        <v>455</v>
      </c>
      <c r="V1060" t="s">
        <v>1197</v>
      </c>
      <c r="W1060" t="s">
        <v>982</v>
      </c>
      <c r="X1060" t="s">
        <v>2642</v>
      </c>
      <c r="Y1060" t="s">
        <v>45</v>
      </c>
      <c r="Z1060">
        <v>20</v>
      </c>
      <c r="AA1060">
        <v>6</v>
      </c>
      <c r="AB1060" t="s">
        <v>46</v>
      </c>
      <c r="AC1060" t="s">
        <v>47</v>
      </c>
      <c r="AD1060" t="s">
        <v>2643</v>
      </c>
      <c r="AE1060" t="s">
        <v>2644</v>
      </c>
    </row>
    <row r="1061" spans="1:31" x14ac:dyDescent="0.2">
      <c r="A1061" t="s">
        <v>31</v>
      </c>
      <c r="B1061">
        <v>2024</v>
      </c>
      <c r="C1061">
        <v>36</v>
      </c>
      <c r="D1061" s="1">
        <v>45403</v>
      </c>
      <c r="E1061" t="s">
        <v>75</v>
      </c>
      <c r="F1061" t="s">
        <v>2368</v>
      </c>
      <c r="G1061" t="s">
        <v>36</v>
      </c>
      <c r="H1061" t="s">
        <v>2562</v>
      </c>
      <c r="I1061" t="s">
        <v>2562</v>
      </c>
      <c r="J1061" t="s">
        <v>37</v>
      </c>
      <c r="K1061">
        <v>222</v>
      </c>
      <c r="L1061">
        <v>6</v>
      </c>
      <c r="M1061">
        <v>221</v>
      </c>
      <c r="N1061">
        <v>10</v>
      </c>
      <c r="O1061" t="s">
        <v>36</v>
      </c>
      <c r="P1061" t="s">
        <v>38</v>
      </c>
      <c r="Q1061">
        <v>1</v>
      </c>
      <c r="R1061">
        <v>0</v>
      </c>
      <c r="S1061" t="s">
        <v>1308</v>
      </c>
      <c r="T1061" t="s">
        <v>1461</v>
      </c>
      <c r="U1061" t="s">
        <v>2228</v>
      </c>
      <c r="V1061" t="s">
        <v>2233</v>
      </c>
      <c r="W1061" t="s">
        <v>2143</v>
      </c>
      <c r="X1061" t="s">
        <v>2375</v>
      </c>
      <c r="Y1061" t="s">
        <v>45</v>
      </c>
      <c r="Z1061">
        <v>20</v>
      </c>
      <c r="AA1061">
        <v>6</v>
      </c>
      <c r="AB1061" t="s">
        <v>46</v>
      </c>
      <c r="AC1061" t="s">
        <v>47</v>
      </c>
      <c r="AD1061" t="s">
        <v>2645</v>
      </c>
      <c r="AE1061" t="s">
        <v>2646</v>
      </c>
    </row>
    <row r="1062" spans="1:31" x14ac:dyDescent="0.2">
      <c r="A1062" t="s">
        <v>31</v>
      </c>
      <c r="B1062">
        <v>2024</v>
      </c>
      <c r="C1062">
        <v>37</v>
      </c>
      <c r="D1062" s="1">
        <v>45403</v>
      </c>
      <c r="E1062" t="s">
        <v>2565</v>
      </c>
      <c r="F1062" t="s">
        <v>2566</v>
      </c>
      <c r="G1062" t="s">
        <v>2080</v>
      </c>
      <c r="H1062" t="s">
        <v>2214</v>
      </c>
      <c r="I1062" t="s">
        <v>2080</v>
      </c>
      <c r="J1062" t="s">
        <v>54</v>
      </c>
      <c r="K1062">
        <v>142</v>
      </c>
      <c r="L1062">
        <v>10</v>
      </c>
      <c r="M1062">
        <v>146</v>
      </c>
      <c r="N1062">
        <v>7</v>
      </c>
      <c r="O1062" t="s">
        <v>2214</v>
      </c>
      <c r="P1062" t="s">
        <v>38</v>
      </c>
      <c r="Q1062">
        <v>0</v>
      </c>
      <c r="R1062">
        <v>3</v>
      </c>
      <c r="S1062" t="s">
        <v>2647</v>
      </c>
      <c r="T1062" t="s">
        <v>40</v>
      </c>
      <c r="U1062" t="s">
        <v>969</v>
      </c>
      <c r="V1062" t="s">
        <v>642</v>
      </c>
      <c r="W1062" t="s">
        <v>1728</v>
      </c>
      <c r="X1062" t="s">
        <v>2636</v>
      </c>
      <c r="Y1062" t="s">
        <v>45</v>
      </c>
      <c r="Z1062">
        <v>20</v>
      </c>
      <c r="AA1062">
        <v>6</v>
      </c>
      <c r="AB1062" t="s">
        <v>46</v>
      </c>
      <c r="AC1062" t="s">
        <v>47</v>
      </c>
      <c r="AD1062" t="s">
        <v>2648</v>
      </c>
      <c r="AE1062" t="s">
        <v>2649</v>
      </c>
    </row>
    <row r="1063" spans="1:31" x14ac:dyDescent="0.2">
      <c r="A1063" t="s">
        <v>31</v>
      </c>
      <c r="B1063">
        <v>2024</v>
      </c>
      <c r="C1063">
        <v>38</v>
      </c>
      <c r="D1063" s="1">
        <v>45404</v>
      </c>
      <c r="E1063" t="s">
        <v>95</v>
      </c>
      <c r="F1063" t="s">
        <v>2445</v>
      </c>
      <c r="G1063" t="s">
        <v>87</v>
      </c>
      <c r="H1063" t="s">
        <v>66</v>
      </c>
      <c r="I1063" t="s">
        <v>87</v>
      </c>
      <c r="J1063" t="s">
        <v>54</v>
      </c>
      <c r="K1063">
        <v>179</v>
      </c>
      <c r="L1063">
        <v>9</v>
      </c>
      <c r="M1063">
        <v>183</v>
      </c>
      <c r="N1063">
        <v>1</v>
      </c>
      <c r="O1063" t="s">
        <v>66</v>
      </c>
      <c r="P1063" t="s">
        <v>38</v>
      </c>
      <c r="Q1063">
        <v>0</v>
      </c>
      <c r="R1063">
        <v>9</v>
      </c>
      <c r="S1063" t="s">
        <v>1175</v>
      </c>
      <c r="T1063" t="s">
        <v>1279</v>
      </c>
      <c r="U1063" t="s">
        <v>146</v>
      </c>
      <c r="V1063" t="s">
        <v>2219</v>
      </c>
      <c r="W1063" t="s">
        <v>819</v>
      </c>
      <c r="X1063" t="s">
        <v>2639</v>
      </c>
      <c r="Y1063" t="s">
        <v>45</v>
      </c>
      <c r="Z1063">
        <v>20</v>
      </c>
      <c r="AA1063">
        <v>6</v>
      </c>
      <c r="AB1063" t="s">
        <v>46</v>
      </c>
      <c r="AC1063" t="s">
        <v>47</v>
      </c>
      <c r="AD1063" t="s">
        <v>2650</v>
      </c>
      <c r="AE1063" t="s">
        <v>2651</v>
      </c>
    </row>
    <row r="1064" spans="1:31" x14ac:dyDescent="0.2">
      <c r="A1064" t="s">
        <v>31</v>
      </c>
      <c r="B1064">
        <v>2024</v>
      </c>
      <c r="C1064">
        <v>39</v>
      </c>
      <c r="D1064" s="1">
        <v>45405</v>
      </c>
      <c r="E1064" t="s">
        <v>108</v>
      </c>
      <c r="F1064" t="s">
        <v>2072</v>
      </c>
      <c r="G1064" t="s">
        <v>53</v>
      </c>
      <c r="H1064" t="s">
        <v>2213</v>
      </c>
      <c r="I1064" t="s">
        <v>2213</v>
      </c>
      <c r="J1064" t="s">
        <v>37</v>
      </c>
      <c r="K1064">
        <v>210</v>
      </c>
      <c r="L1064">
        <v>4</v>
      </c>
      <c r="M1064">
        <v>213</v>
      </c>
      <c r="N1064">
        <v>4</v>
      </c>
      <c r="O1064" t="s">
        <v>2213</v>
      </c>
      <c r="P1064" t="s">
        <v>38</v>
      </c>
      <c r="Q1064">
        <v>0</v>
      </c>
      <c r="R1064">
        <v>6</v>
      </c>
      <c r="S1064" t="s">
        <v>1493</v>
      </c>
      <c r="T1064" t="s">
        <v>2514</v>
      </c>
      <c r="U1064" t="s">
        <v>621</v>
      </c>
      <c r="V1064" t="s">
        <v>982</v>
      </c>
      <c r="W1064" t="s">
        <v>455</v>
      </c>
      <c r="X1064" t="s">
        <v>2642</v>
      </c>
      <c r="Y1064" t="s">
        <v>45</v>
      </c>
      <c r="Z1064">
        <v>20</v>
      </c>
      <c r="AA1064">
        <v>6</v>
      </c>
      <c r="AB1064" t="s">
        <v>46</v>
      </c>
      <c r="AC1064" t="s">
        <v>47</v>
      </c>
      <c r="AD1064" t="s">
        <v>2652</v>
      </c>
      <c r="AE1064" t="s">
        <v>2653</v>
      </c>
    </row>
    <row r="1065" spans="1:31" x14ac:dyDescent="0.2">
      <c r="A1065" t="s">
        <v>31</v>
      </c>
      <c r="B1065">
        <v>2024</v>
      </c>
      <c r="C1065">
        <v>40</v>
      </c>
      <c r="D1065" s="1">
        <v>45406</v>
      </c>
      <c r="E1065" t="s">
        <v>63</v>
      </c>
      <c r="F1065" t="s">
        <v>2120</v>
      </c>
      <c r="G1065" t="s">
        <v>1820</v>
      </c>
      <c r="H1065" t="s">
        <v>2214</v>
      </c>
      <c r="I1065" t="s">
        <v>2214</v>
      </c>
      <c r="J1065" t="s">
        <v>37</v>
      </c>
      <c r="K1065">
        <v>224</v>
      </c>
      <c r="L1065">
        <v>4</v>
      </c>
      <c r="M1065">
        <v>220</v>
      </c>
      <c r="N1065">
        <v>8</v>
      </c>
      <c r="O1065" t="s">
        <v>1820</v>
      </c>
      <c r="P1065" t="s">
        <v>38</v>
      </c>
      <c r="Q1065">
        <v>4</v>
      </c>
      <c r="R1065">
        <v>0</v>
      </c>
      <c r="S1065" t="s">
        <v>1482</v>
      </c>
      <c r="T1065" t="s">
        <v>1461</v>
      </c>
      <c r="U1065" t="s">
        <v>463</v>
      </c>
      <c r="V1065" t="s">
        <v>1210</v>
      </c>
      <c r="W1065" t="s">
        <v>2228</v>
      </c>
      <c r="X1065" t="s">
        <v>2375</v>
      </c>
      <c r="Y1065" t="s">
        <v>45</v>
      </c>
      <c r="Z1065">
        <v>20</v>
      </c>
      <c r="AA1065">
        <v>6</v>
      </c>
      <c r="AB1065" t="s">
        <v>46</v>
      </c>
      <c r="AC1065" t="s">
        <v>47</v>
      </c>
      <c r="AD1065" t="s">
        <v>2654</v>
      </c>
      <c r="AE1065" t="s">
        <v>2655</v>
      </c>
    </row>
    <row r="1066" spans="1:31" x14ac:dyDescent="0.2">
      <c r="A1066" t="s">
        <v>31</v>
      </c>
      <c r="B1066">
        <v>2024</v>
      </c>
      <c r="C1066">
        <v>41</v>
      </c>
      <c r="D1066" s="1">
        <v>45407</v>
      </c>
      <c r="E1066" t="s">
        <v>101</v>
      </c>
      <c r="F1066" t="s">
        <v>2389</v>
      </c>
      <c r="G1066" t="s">
        <v>2562</v>
      </c>
      <c r="H1066" t="s">
        <v>968</v>
      </c>
      <c r="I1066" t="s">
        <v>2562</v>
      </c>
      <c r="J1066" t="s">
        <v>54</v>
      </c>
      <c r="K1066">
        <v>206</v>
      </c>
      <c r="L1066">
        <v>7</v>
      </c>
      <c r="M1066">
        <v>171</v>
      </c>
      <c r="N1066">
        <v>8</v>
      </c>
      <c r="O1066" t="s">
        <v>2562</v>
      </c>
      <c r="P1066" t="s">
        <v>38</v>
      </c>
      <c r="Q1066">
        <v>35</v>
      </c>
      <c r="R1066">
        <v>0</v>
      </c>
      <c r="S1066" t="s">
        <v>2370</v>
      </c>
      <c r="T1066" t="s">
        <v>40</v>
      </c>
      <c r="U1066" t="s">
        <v>989</v>
      </c>
      <c r="V1066" t="s">
        <v>1728</v>
      </c>
      <c r="W1066" t="s">
        <v>939</v>
      </c>
      <c r="X1066" t="s">
        <v>2636</v>
      </c>
      <c r="Y1066" t="s">
        <v>45</v>
      </c>
      <c r="Z1066">
        <v>20</v>
      </c>
      <c r="AA1066">
        <v>6</v>
      </c>
      <c r="AB1066" t="s">
        <v>46</v>
      </c>
      <c r="AC1066" t="s">
        <v>47</v>
      </c>
      <c r="AD1066" t="s">
        <v>2656</v>
      </c>
      <c r="AE1066" t="s">
        <v>2657</v>
      </c>
    </row>
    <row r="1067" spans="1:31" x14ac:dyDescent="0.2">
      <c r="A1067" t="s">
        <v>31</v>
      </c>
      <c r="B1067">
        <v>2024</v>
      </c>
      <c r="C1067">
        <v>42</v>
      </c>
      <c r="D1067" s="1">
        <v>45408</v>
      </c>
      <c r="E1067" t="s">
        <v>75</v>
      </c>
      <c r="F1067" t="s">
        <v>2368</v>
      </c>
      <c r="G1067" t="s">
        <v>36</v>
      </c>
      <c r="H1067" t="s">
        <v>2080</v>
      </c>
      <c r="I1067" t="s">
        <v>2080</v>
      </c>
      <c r="J1067" t="s">
        <v>37</v>
      </c>
      <c r="K1067">
        <v>261</v>
      </c>
      <c r="L1067">
        <v>6</v>
      </c>
      <c r="M1067">
        <v>262</v>
      </c>
      <c r="N1067">
        <v>2</v>
      </c>
      <c r="O1067" t="s">
        <v>2080</v>
      </c>
      <c r="P1067" t="s">
        <v>38</v>
      </c>
      <c r="Q1067">
        <v>0</v>
      </c>
      <c r="R1067">
        <v>8</v>
      </c>
      <c r="S1067" t="s">
        <v>1838</v>
      </c>
      <c r="T1067" t="s">
        <v>2514</v>
      </c>
      <c r="U1067" t="s">
        <v>146</v>
      </c>
      <c r="V1067" t="s">
        <v>1417</v>
      </c>
      <c r="W1067" t="s">
        <v>1193</v>
      </c>
      <c r="X1067" t="s">
        <v>2639</v>
      </c>
      <c r="Y1067" t="s">
        <v>45</v>
      </c>
      <c r="Z1067">
        <v>20</v>
      </c>
      <c r="AA1067">
        <v>6</v>
      </c>
      <c r="AB1067" t="s">
        <v>46</v>
      </c>
      <c r="AC1067" t="s">
        <v>47</v>
      </c>
      <c r="AD1067" t="s">
        <v>2658</v>
      </c>
      <c r="AE1067" t="s">
        <v>2659</v>
      </c>
    </row>
    <row r="1068" spans="1:31" x14ac:dyDescent="0.2">
      <c r="A1068" t="s">
        <v>31</v>
      </c>
      <c r="B1068">
        <v>2024</v>
      </c>
      <c r="C1068">
        <v>43</v>
      </c>
      <c r="D1068" s="1">
        <v>45409</v>
      </c>
      <c r="E1068" t="s">
        <v>63</v>
      </c>
      <c r="F1068" t="s">
        <v>2120</v>
      </c>
      <c r="G1068" t="s">
        <v>1820</v>
      </c>
      <c r="H1068" t="s">
        <v>87</v>
      </c>
      <c r="I1068" t="s">
        <v>87</v>
      </c>
      <c r="J1068" t="s">
        <v>37</v>
      </c>
      <c r="K1068">
        <v>257</v>
      </c>
      <c r="L1068">
        <v>4</v>
      </c>
      <c r="M1068">
        <v>247</v>
      </c>
      <c r="N1068">
        <v>9</v>
      </c>
      <c r="O1068" t="s">
        <v>1820</v>
      </c>
      <c r="P1068" t="s">
        <v>38</v>
      </c>
      <c r="Q1068">
        <v>10</v>
      </c>
      <c r="R1068">
        <v>0</v>
      </c>
      <c r="S1068" t="s">
        <v>2660</v>
      </c>
      <c r="T1068" t="s">
        <v>1553</v>
      </c>
      <c r="U1068" t="s">
        <v>1197</v>
      </c>
      <c r="V1068" t="s">
        <v>621</v>
      </c>
      <c r="W1068" t="s">
        <v>455</v>
      </c>
      <c r="X1068" t="s">
        <v>2642</v>
      </c>
      <c r="Y1068" t="s">
        <v>45</v>
      </c>
      <c r="Z1068">
        <v>20</v>
      </c>
      <c r="AA1068">
        <v>6</v>
      </c>
      <c r="AB1068" t="s">
        <v>46</v>
      </c>
      <c r="AC1068" t="s">
        <v>47</v>
      </c>
      <c r="AD1068" t="s">
        <v>2661</v>
      </c>
      <c r="AE1068" t="s">
        <v>2662</v>
      </c>
    </row>
    <row r="1069" spans="1:31" x14ac:dyDescent="0.2">
      <c r="A1069" t="s">
        <v>31</v>
      </c>
      <c r="B1069">
        <v>2024</v>
      </c>
      <c r="C1069">
        <v>44</v>
      </c>
      <c r="D1069" s="1">
        <v>45409</v>
      </c>
      <c r="E1069" t="s">
        <v>2383</v>
      </c>
      <c r="F1069" t="s">
        <v>2384</v>
      </c>
      <c r="G1069" t="s">
        <v>2213</v>
      </c>
      <c r="H1069" t="s">
        <v>66</v>
      </c>
      <c r="I1069" t="s">
        <v>66</v>
      </c>
      <c r="J1069" t="s">
        <v>37</v>
      </c>
      <c r="K1069">
        <v>196</v>
      </c>
      <c r="L1069">
        <v>5</v>
      </c>
      <c r="M1069">
        <v>199</v>
      </c>
      <c r="N1069">
        <v>3</v>
      </c>
      <c r="O1069" t="s">
        <v>66</v>
      </c>
      <c r="P1069" t="s">
        <v>38</v>
      </c>
      <c r="Q1069">
        <v>0</v>
      </c>
      <c r="R1069">
        <v>7</v>
      </c>
      <c r="S1069" t="s">
        <v>1055</v>
      </c>
      <c r="T1069" t="s">
        <v>1461</v>
      </c>
      <c r="U1069" t="s">
        <v>463</v>
      </c>
      <c r="V1069" t="s">
        <v>2143</v>
      </c>
      <c r="W1069" t="s">
        <v>2233</v>
      </c>
      <c r="X1069" t="s">
        <v>2375</v>
      </c>
      <c r="Y1069" t="s">
        <v>45</v>
      </c>
      <c r="Z1069">
        <v>20</v>
      </c>
      <c r="AA1069">
        <v>6</v>
      </c>
      <c r="AB1069" t="s">
        <v>46</v>
      </c>
      <c r="AC1069" t="s">
        <v>47</v>
      </c>
      <c r="AD1069" t="s">
        <v>2663</v>
      </c>
      <c r="AE1069" t="s">
        <v>2664</v>
      </c>
    </row>
    <row r="1070" spans="1:31" x14ac:dyDescent="0.2">
      <c r="A1070" t="s">
        <v>31</v>
      </c>
      <c r="B1070">
        <v>2024</v>
      </c>
      <c r="C1070">
        <v>45</v>
      </c>
      <c r="D1070" s="1">
        <v>45410</v>
      </c>
      <c r="E1070" t="s">
        <v>458</v>
      </c>
      <c r="F1070" t="s">
        <v>2115</v>
      </c>
      <c r="G1070" t="s">
        <v>2214</v>
      </c>
      <c r="H1070" t="s">
        <v>2562</v>
      </c>
      <c r="I1070" t="s">
        <v>2562</v>
      </c>
      <c r="J1070" t="s">
        <v>37</v>
      </c>
      <c r="K1070">
        <v>200</v>
      </c>
      <c r="L1070">
        <v>3</v>
      </c>
      <c r="M1070">
        <v>206</v>
      </c>
      <c r="N1070">
        <v>1</v>
      </c>
      <c r="O1070" t="s">
        <v>2562</v>
      </c>
      <c r="P1070" t="s">
        <v>38</v>
      </c>
      <c r="Q1070">
        <v>0</v>
      </c>
      <c r="R1070">
        <v>9</v>
      </c>
      <c r="S1070" t="s">
        <v>2665</v>
      </c>
      <c r="T1070" t="s">
        <v>40</v>
      </c>
      <c r="U1070" t="s">
        <v>989</v>
      </c>
      <c r="V1070" t="s">
        <v>939</v>
      </c>
      <c r="W1070" t="s">
        <v>642</v>
      </c>
      <c r="X1070" t="s">
        <v>2666</v>
      </c>
      <c r="Y1070" t="s">
        <v>45</v>
      </c>
      <c r="Z1070">
        <v>20</v>
      </c>
      <c r="AA1070">
        <v>6</v>
      </c>
      <c r="AB1070" t="s">
        <v>46</v>
      </c>
      <c r="AC1070" t="s">
        <v>47</v>
      </c>
      <c r="AD1070" t="s">
        <v>2667</v>
      </c>
      <c r="AE1070" t="s">
        <v>2668</v>
      </c>
    </row>
    <row r="1071" spans="1:31" x14ac:dyDescent="0.2">
      <c r="A1071" t="s">
        <v>31</v>
      </c>
      <c r="B1071">
        <v>2024</v>
      </c>
      <c r="C1071">
        <v>46</v>
      </c>
      <c r="D1071" s="1">
        <v>45410</v>
      </c>
      <c r="E1071" t="s">
        <v>108</v>
      </c>
      <c r="F1071" t="s">
        <v>2072</v>
      </c>
      <c r="G1071" t="s">
        <v>53</v>
      </c>
      <c r="H1071" t="s">
        <v>968</v>
      </c>
      <c r="I1071" t="s">
        <v>968</v>
      </c>
      <c r="J1071" t="s">
        <v>37</v>
      </c>
      <c r="K1071">
        <v>212</v>
      </c>
      <c r="L1071">
        <v>3</v>
      </c>
      <c r="M1071">
        <v>134</v>
      </c>
      <c r="N1071">
        <v>10</v>
      </c>
      <c r="O1071" t="s">
        <v>53</v>
      </c>
      <c r="P1071" t="s">
        <v>38</v>
      </c>
      <c r="Q1071">
        <v>78</v>
      </c>
      <c r="R1071">
        <v>0</v>
      </c>
      <c r="S1071" t="s">
        <v>2038</v>
      </c>
      <c r="T1071" t="s">
        <v>2514</v>
      </c>
      <c r="U1071" t="s">
        <v>1193</v>
      </c>
      <c r="V1071" t="s">
        <v>2219</v>
      </c>
      <c r="W1071" t="s">
        <v>146</v>
      </c>
      <c r="X1071" t="s">
        <v>2636</v>
      </c>
      <c r="Y1071" t="s">
        <v>45</v>
      </c>
      <c r="Z1071">
        <v>20</v>
      </c>
      <c r="AA1071">
        <v>6</v>
      </c>
      <c r="AB1071" t="s">
        <v>46</v>
      </c>
      <c r="AC1071" t="s">
        <v>47</v>
      </c>
      <c r="AD1071" t="s">
        <v>2669</v>
      </c>
      <c r="AE1071" t="s">
        <v>2670</v>
      </c>
    </row>
    <row r="1072" spans="1:31" x14ac:dyDescent="0.2">
      <c r="A1072" t="s">
        <v>31</v>
      </c>
      <c r="B1072">
        <v>2024</v>
      </c>
      <c r="C1072">
        <v>47</v>
      </c>
      <c r="D1072" s="1">
        <v>45411</v>
      </c>
      <c r="E1072" t="s">
        <v>75</v>
      </c>
      <c r="F1072" t="s">
        <v>2368</v>
      </c>
      <c r="G1072" t="s">
        <v>1820</v>
      </c>
      <c r="H1072" t="s">
        <v>36</v>
      </c>
      <c r="I1072" t="s">
        <v>1820</v>
      </c>
      <c r="J1072" t="s">
        <v>54</v>
      </c>
      <c r="K1072">
        <v>153</v>
      </c>
      <c r="L1072">
        <v>9</v>
      </c>
      <c r="M1072">
        <v>157</v>
      </c>
      <c r="N1072">
        <v>3</v>
      </c>
      <c r="O1072" t="s">
        <v>36</v>
      </c>
      <c r="P1072" t="s">
        <v>38</v>
      </c>
      <c r="Q1072">
        <v>0</v>
      </c>
      <c r="R1072">
        <v>7</v>
      </c>
      <c r="S1072" t="s">
        <v>2032</v>
      </c>
      <c r="T1072" t="s">
        <v>1553</v>
      </c>
      <c r="U1072" t="s">
        <v>1197</v>
      </c>
      <c r="V1072" t="s">
        <v>982</v>
      </c>
      <c r="W1072" t="s">
        <v>621</v>
      </c>
      <c r="X1072" t="s">
        <v>2642</v>
      </c>
      <c r="Y1072" t="s">
        <v>45</v>
      </c>
      <c r="Z1072">
        <v>20</v>
      </c>
      <c r="AA1072">
        <v>6</v>
      </c>
      <c r="AB1072" t="s">
        <v>46</v>
      </c>
      <c r="AC1072" t="s">
        <v>47</v>
      </c>
      <c r="AD1072" t="s">
        <v>2671</v>
      </c>
      <c r="AE1072" t="s">
        <v>2672</v>
      </c>
    </row>
    <row r="1073" spans="1:31" x14ac:dyDescent="0.2">
      <c r="A1073" t="s">
        <v>31</v>
      </c>
      <c r="B1073">
        <v>2024</v>
      </c>
      <c r="C1073">
        <v>48</v>
      </c>
      <c r="D1073" s="1">
        <v>45412</v>
      </c>
      <c r="E1073" t="s">
        <v>2383</v>
      </c>
      <c r="F1073" t="s">
        <v>2384</v>
      </c>
      <c r="G1073" t="s">
        <v>87</v>
      </c>
      <c r="H1073" t="s">
        <v>2213</v>
      </c>
      <c r="I1073" t="s">
        <v>2213</v>
      </c>
      <c r="J1073" t="s">
        <v>37</v>
      </c>
      <c r="K1073">
        <v>144</v>
      </c>
      <c r="L1073">
        <v>7</v>
      </c>
      <c r="M1073">
        <v>145</v>
      </c>
      <c r="N1073">
        <v>6</v>
      </c>
      <c r="O1073" t="s">
        <v>2213</v>
      </c>
      <c r="P1073" t="s">
        <v>38</v>
      </c>
      <c r="Q1073">
        <v>0</v>
      </c>
      <c r="R1073">
        <v>4</v>
      </c>
      <c r="S1073" t="s">
        <v>1493</v>
      </c>
      <c r="T1073" t="s">
        <v>2215</v>
      </c>
      <c r="U1073" t="s">
        <v>2143</v>
      </c>
      <c r="V1073" t="s">
        <v>1210</v>
      </c>
      <c r="W1073" t="s">
        <v>463</v>
      </c>
      <c r="X1073" t="s">
        <v>2375</v>
      </c>
      <c r="Y1073" t="s">
        <v>45</v>
      </c>
      <c r="Z1073">
        <v>20</v>
      </c>
      <c r="AA1073">
        <v>6</v>
      </c>
      <c r="AB1073" t="s">
        <v>46</v>
      </c>
      <c r="AC1073" t="s">
        <v>47</v>
      </c>
      <c r="AD1073" t="s">
        <v>2673</v>
      </c>
      <c r="AE1073" t="s">
        <v>2674</v>
      </c>
    </row>
    <row r="1074" spans="1:31" x14ac:dyDescent="0.2">
      <c r="A1074" t="s">
        <v>31</v>
      </c>
      <c r="B1074">
        <v>2024</v>
      </c>
      <c r="C1074">
        <v>49</v>
      </c>
      <c r="D1074" s="1">
        <v>45413</v>
      </c>
      <c r="E1074" t="s">
        <v>108</v>
      </c>
      <c r="F1074" t="s">
        <v>2072</v>
      </c>
      <c r="G1074" t="s">
        <v>53</v>
      </c>
      <c r="H1074" t="s">
        <v>2080</v>
      </c>
      <c r="I1074" t="s">
        <v>2080</v>
      </c>
      <c r="J1074" t="s">
        <v>37</v>
      </c>
      <c r="K1074">
        <v>162</v>
      </c>
      <c r="L1074">
        <v>7</v>
      </c>
      <c r="M1074">
        <v>163</v>
      </c>
      <c r="N1074">
        <v>3</v>
      </c>
      <c r="O1074" t="s">
        <v>2080</v>
      </c>
      <c r="P1074" t="s">
        <v>38</v>
      </c>
      <c r="Q1074">
        <v>0</v>
      </c>
      <c r="R1074">
        <v>7</v>
      </c>
      <c r="S1074" t="s">
        <v>2127</v>
      </c>
      <c r="T1074" t="s">
        <v>2425</v>
      </c>
      <c r="U1074" t="s">
        <v>1728</v>
      </c>
      <c r="V1074" t="s">
        <v>939</v>
      </c>
      <c r="W1074" t="s">
        <v>969</v>
      </c>
      <c r="X1074" t="s">
        <v>2666</v>
      </c>
      <c r="Y1074" t="s">
        <v>45</v>
      </c>
      <c r="Z1074">
        <v>20</v>
      </c>
      <c r="AA1074">
        <v>6</v>
      </c>
      <c r="AB1074" t="s">
        <v>46</v>
      </c>
      <c r="AC1074" t="s">
        <v>47</v>
      </c>
      <c r="AD1074" t="s">
        <v>2675</v>
      </c>
      <c r="AE1074" t="s">
        <v>2676</v>
      </c>
    </row>
    <row r="1075" spans="1:31" x14ac:dyDescent="0.2">
      <c r="A1075" t="s">
        <v>31</v>
      </c>
      <c r="B1075">
        <v>2024</v>
      </c>
      <c r="C1075">
        <v>50</v>
      </c>
      <c r="D1075" s="1">
        <v>45414</v>
      </c>
      <c r="E1075" t="s">
        <v>101</v>
      </c>
      <c r="F1075" t="s">
        <v>2389</v>
      </c>
      <c r="G1075" t="s">
        <v>968</v>
      </c>
      <c r="H1075" t="s">
        <v>66</v>
      </c>
      <c r="I1075" t="s">
        <v>968</v>
      </c>
      <c r="J1075" t="s">
        <v>54</v>
      </c>
      <c r="K1075">
        <v>201</v>
      </c>
      <c r="L1075">
        <v>3</v>
      </c>
      <c r="M1075">
        <v>200</v>
      </c>
      <c r="N1075">
        <v>7</v>
      </c>
      <c r="O1075" t="s">
        <v>968</v>
      </c>
      <c r="P1075" t="s">
        <v>38</v>
      </c>
      <c r="Q1075">
        <v>1</v>
      </c>
      <c r="R1075">
        <v>0</v>
      </c>
      <c r="S1075" t="s">
        <v>1186</v>
      </c>
      <c r="T1075" t="s">
        <v>1965</v>
      </c>
      <c r="U1075" t="s">
        <v>146</v>
      </c>
      <c r="V1075" t="s">
        <v>1417</v>
      </c>
      <c r="W1075" t="s">
        <v>1193</v>
      </c>
      <c r="X1075" t="s">
        <v>2636</v>
      </c>
      <c r="Y1075" t="s">
        <v>45</v>
      </c>
      <c r="Z1075">
        <v>20</v>
      </c>
      <c r="AA1075">
        <v>6</v>
      </c>
      <c r="AB1075" t="s">
        <v>46</v>
      </c>
      <c r="AC1075" t="s">
        <v>47</v>
      </c>
      <c r="AD1075" t="s">
        <v>2677</v>
      </c>
      <c r="AE1075" t="s">
        <v>2678</v>
      </c>
    </row>
    <row r="1076" spans="1:31" x14ac:dyDescent="0.2">
      <c r="A1076" t="s">
        <v>31</v>
      </c>
      <c r="B1076">
        <v>2024</v>
      </c>
      <c r="C1076">
        <v>51</v>
      </c>
      <c r="D1076" s="1">
        <v>45415</v>
      </c>
      <c r="E1076" t="s">
        <v>85</v>
      </c>
      <c r="F1076" t="s">
        <v>2075</v>
      </c>
      <c r="G1076" t="s">
        <v>36</v>
      </c>
      <c r="H1076" t="s">
        <v>87</v>
      </c>
      <c r="I1076" t="s">
        <v>87</v>
      </c>
      <c r="J1076" t="s">
        <v>37</v>
      </c>
      <c r="K1076">
        <v>169</v>
      </c>
      <c r="L1076">
        <v>10</v>
      </c>
      <c r="M1076">
        <v>145</v>
      </c>
      <c r="N1076">
        <v>10</v>
      </c>
      <c r="O1076" t="s">
        <v>36</v>
      </c>
      <c r="P1076" t="s">
        <v>38</v>
      </c>
      <c r="Q1076">
        <v>24</v>
      </c>
      <c r="R1076">
        <v>0</v>
      </c>
      <c r="S1076" t="s">
        <v>2199</v>
      </c>
      <c r="T1076" t="s">
        <v>2517</v>
      </c>
      <c r="U1076" t="s">
        <v>455</v>
      </c>
      <c r="V1076" t="s">
        <v>982</v>
      </c>
      <c r="W1076" t="s">
        <v>2143</v>
      </c>
      <c r="X1076" t="s">
        <v>2642</v>
      </c>
      <c r="Y1076" t="s">
        <v>45</v>
      </c>
      <c r="Z1076">
        <v>20</v>
      </c>
      <c r="AA1076">
        <v>6</v>
      </c>
      <c r="AB1076" t="s">
        <v>46</v>
      </c>
      <c r="AC1076" t="s">
        <v>47</v>
      </c>
      <c r="AD1076" t="s">
        <v>2679</v>
      </c>
      <c r="AE1076" t="s">
        <v>2680</v>
      </c>
    </row>
    <row r="1077" spans="1:31" x14ac:dyDescent="0.2">
      <c r="A1077" t="s">
        <v>31</v>
      </c>
      <c r="B1077">
        <v>2024</v>
      </c>
      <c r="C1077">
        <v>52</v>
      </c>
      <c r="D1077" s="1">
        <v>45416</v>
      </c>
      <c r="E1077" t="s">
        <v>1558</v>
      </c>
      <c r="F1077" t="s">
        <v>2393</v>
      </c>
      <c r="G1077" t="s">
        <v>2214</v>
      </c>
      <c r="H1077" t="s">
        <v>2562</v>
      </c>
      <c r="I1077" t="s">
        <v>2562</v>
      </c>
      <c r="J1077" t="s">
        <v>37</v>
      </c>
      <c r="K1077">
        <v>147</v>
      </c>
      <c r="L1077">
        <v>10</v>
      </c>
      <c r="M1077">
        <v>152</v>
      </c>
      <c r="N1077">
        <v>6</v>
      </c>
      <c r="O1077" t="s">
        <v>2562</v>
      </c>
      <c r="P1077" t="s">
        <v>38</v>
      </c>
      <c r="Q1077">
        <v>0</v>
      </c>
      <c r="R1077">
        <v>4</v>
      </c>
      <c r="S1077" t="s">
        <v>1661</v>
      </c>
      <c r="T1077" t="s">
        <v>2215</v>
      </c>
      <c r="U1077" t="s">
        <v>2228</v>
      </c>
      <c r="V1077" t="s">
        <v>2233</v>
      </c>
      <c r="W1077" t="s">
        <v>463</v>
      </c>
      <c r="X1077" t="s">
        <v>2636</v>
      </c>
      <c r="Y1077" t="s">
        <v>45</v>
      </c>
      <c r="Z1077">
        <v>20</v>
      </c>
      <c r="AA1077">
        <v>6</v>
      </c>
      <c r="AB1077" t="s">
        <v>46</v>
      </c>
      <c r="AC1077" t="s">
        <v>47</v>
      </c>
      <c r="AD1077" t="s">
        <v>2681</v>
      </c>
      <c r="AE1077" t="s">
        <v>2682</v>
      </c>
    </row>
    <row r="1078" spans="1:31" x14ac:dyDescent="0.2">
      <c r="A1078" t="s">
        <v>31</v>
      </c>
      <c r="B1078">
        <v>2024</v>
      </c>
      <c r="C1078">
        <v>53</v>
      </c>
      <c r="D1078" s="1">
        <v>45417</v>
      </c>
      <c r="E1078" t="s">
        <v>578</v>
      </c>
      <c r="F1078" t="s">
        <v>2537</v>
      </c>
      <c r="G1078" t="s">
        <v>53</v>
      </c>
      <c r="H1078" t="s">
        <v>2080</v>
      </c>
      <c r="I1078" t="s">
        <v>2080</v>
      </c>
      <c r="J1078" t="s">
        <v>37</v>
      </c>
      <c r="K1078">
        <v>167</v>
      </c>
      <c r="L1078">
        <v>9</v>
      </c>
      <c r="M1078">
        <v>139</v>
      </c>
      <c r="N1078">
        <v>9</v>
      </c>
      <c r="O1078" t="s">
        <v>53</v>
      </c>
      <c r="P1078" t="s">
        <v>38</v>
      </c>
      <c r="Q1078">
        <v>28</v>
      </c>
      <c r="R1078">
        <v>0</v>
      </c>
      <c r="S1078" t="s">
        <v>802</v>
      </c>
      <c r="T1078" t="s">
        <v>2425</v>
      </c>
      <c r="U1078" t="s">
        <v>969</v>
      </c>
      <c r="V1078" t="s">
        <v>642</v>
      </c>
      <c r="W1078" t="s">
        <v>989</v>
      </c>
      <c r="X1078" t="s">
        <v>2666</v>
      </c>
      <c r="Y1078" t="s">
        <v>45</v>
      </c>
      <c r="Z1078">
        <v>20</v>
      </c>
      <c r="AA1078">
        <v>6</v>
      </c>
      <c r="AB1078" t="s">
        <v>46</v>
      </c>
      <c r="AC1078" t="s">
        <v>47</v>
      </c>
      <c r="AD1078" t="s">
        <v>2683</v>
      </c>
      <c r="AE1078" t="s">
        <v>2684</v>
      </c>
    </row>
    <row r="1079" spans="1:31" x14ac:dyDescent="0.2">
      <c r="A1079" t="s">
        <v>31</v>
      </c>
      <c r="B1079">
        <v>2024</v>
      </c>
      <c r="C1079">
        <v>54</v>
      </c>
      <c r="D1079" s="1">
        <v>45417</v>
      </c>
      <c r="E1079" t="s">
        <v>2383</v>
      </c>
      <c r="F1079" t="s">
        <v>2384</v>
      </c>
      <c r="G1079" t="s">
        <v>36</v>
      </c>
      <c r="H1079" t="s">
        <v>2213</v>
      </c>
      <c r="I1079" t="s">
        <v>2213</v>
      </c>
      <c r="J1079" t="s">
        <v>37</v>
      </c>
      <c r="K1079">
        <v>235</v>
      </c>
      <c r="L1079">
        <v>6</v>
      </c>
      <c r="M1079">
        <v>137</v>
      </c>
      <c r="N1079">
        <v>10</v>
      </c>
      <c r="O1079" t="s">
        <v>36</v>
      </c>
      <c r="P1079" t="s">
        <v>38</v>
      </c>
      <c r="Q1079">
        <v>98</v>
      </c>
      <c r="R1079">
        <v>0</v>
      </c>
      <c r="S1079" t="s">
        <v>835</v>
      </c>
      <c r="T1079" t="s">
        <v>1965</v>
      </c>
      <c r="U1079" t="s">
        <v>2219</v>
      </c>
      <c r="V1079" t="s">
        <v>1417</v>
      </c>
      <c r="W1079" t="s">
        <v>146</v>
      </c>
      <c r="X1079" t="s">
        <v>2639</v>
      </c>
      <c r="Y1079" t="s">
        <v>45</v>
      </c>
      <c r="Z1079">
        <v>20</v>
      </c>
      <c r="AA1079">
        <v>6</v>
      </c>
      <c r="AB1079" t="s">
        <v>46</v>
      </c>
      <c r="AC1079" t="s">
        <v>47</v>
      </c>
      <c r="AD1079" t="s">
        <v>2685</v>
      </c>
      <c r="AE1079" t="s">
        <v>2686</v>
      </c>
    </row>
    <row r="1080" spans="1:31" x14ac:dyDescent="0.2">
      <c r="A1080" t="s">
        <v>31</v>
      </c>
      <c r="B1080">
        <v>2024</v>
      </c>
      <c r="C1080">
        <v>55</v>
      </c>
      <c r="D1080" s="1">
        <v>45418</v>
      </c>
      <c r="E1080" t="s">
        <v>85</v>
      </c>
      <c r="F1080" t="s">
        <v>2075</v>
      </c>
      <c r="G1080" t="s">
        <v>968</v>
      </c>
      <c r="H1080" t="s">
        <v>87</v>
      </c>
      <c r="I1080" t="s">
        <v>87</v>
      </c>
      <c r="J1080" t="s">
        <v>37</v>
      </c>
      <c r="K1080">
        <v>173</v>
      </c>
      <c r="L1080">
        <v>8</v>
      </c>
      <c r="M1080">
        <v>174</v>
      </c>
      <c r="N1080">
        <v>3</v>
      </c>
      <c r="O1080" t="s">
        <v>87</v>
      </c>
      <c r="P1080" t="s">
        <v>38</v>
      </c>
      <c r="Q1080">
        <v>0</v>
      </c>
      <c r="R1080">
        <v>7</v>
      </c>
      <c r="S1080" t="s">
        <v>1455</v>
      </c>
      <c r="T1080" t="s">
        <v>2517</v>
      </c>
      <c r="U1080" t="s">
        <v>1197</v>
      </c>
      <c r="V1080" t="s">
        <v>982</v>
      </c>
      <c r="W1080" t="s">
        <v>455</v>
      </c>
      <c r="X1080" t="s">
        <v>2636</v>
      </c>
      <c r="Y1080" t="s">
        <v>45</v>
      </c>
      <c r="Z1080">
        <v>20</v>
      </c>
      <c r="AA1080">
        <v>6</v>
      </c>
      <c r="AB1080" t="s">
        <v>46</v>
      </c>
      <c r="AC1080" t="s">
        <v>47</v>
      </c>
      <c r="AD1080" t="s">
        <v>2687</v>
      </c>
      <c r="AE1080" t="s">
        <v>2688</v>
      </c>
    </row>
    <row r="1081" spans="1:31" x14ac:dyDescent="0.2">
      <c r="A1081" t="s">
        <v>31</v>
      </c>
      <c r="B1081">
        <v>2024</v>
      </c>
      <c r="C1081">
        <v>56</v>
      </c>
      <c r="D1081" s="1">
        <v>45419</v>
      </c>
      <c r="E1081" t="s">
        <v>63</v>
      </c>
      <c r="F1081" t="s">
        <v>2120</v>
      </c>
      <c r="G1081" t="s">
        <v>1820</v>
      </c>
      <c r="H1081" t="s">
        <v>66</v>
      </c>
      <c r="I1081" t="s">
        <v>66</v>
      </c>
      <c r="J1081" t="s">
        <v>37</v>
      </c>
      <c r="K1081">
        <v>221</v>
      </c>
      <c r="L1081">
        <v>8</v>
      </c>
      <c r="M1081">
        <v>201</v>
      </c>
      <c r="N1081">
        <v>8</v>
      </c>
      <c r="O1081" t="s">
        <v>1820</v>
      </c>
      <c r="P1081" t="s">
        <v>38</v>
      </c>
      <c r="Q1081">
        <v>20</v>
      </c>
      <c r="R1081">
        <v>0</v>
      </c>
      <c r="S1081" t="s">
        <v>1789</v>
      </c>
      <c r="T1081" t="s">
        <v>2215</v>
      </c>
      <c r="U1081" t="s">
        <v>463</v>
      </c>
      <c r="V1081" t="s">
        <v>1210</v>
      </c>
      <c r="W1081" t="s">
        <v>2143</v>
      </c>
      <c r="X1081" t="s">
        <v>2375</v>
      </c>
      <c r="Y1081" t="s">
        <v>45</v>
      </c>
      <c r="Z1081">
        <v>20</v>
      </c>
      <c r="AA1081">
        <v>6</v>
      </c>
      <c r="AB1081" t="s">
        <v>46</v>
      </c>
      <c r="AC1081" t="s">
        <v>47</v>
      </c>
      <c r="AD1081" t="s">
        <v>2689</v>
      </c>
      <c r="AE1081" t="s">
        <v>2690</v>
      </c>
    </row>
    <row r="1082" spans="1:31" x14ac:dyDescent="0.2">
      <c r="A1082" t="s">
        <v>31</v>
      </c>
      <c r="B1082">
        <v>2024</v>
      </c>
      <c r="C1082">
        <v>57</v>
      </c>
      <c r="D1082" s="1">
        <v>45420</v>
      </c>
      <c r="E1082" t="s">
        <v>101</v>
      </c>
      <c r="F1082" t="s">
        <v>2389</v>
      </c>
      <c r="G1082" t="s">
        <v>2213</v>
      </c>
      <c r="H1082" t="s">
        <v>968</v>
      </c>
      <c r="I1082" t="s">
        <v>2213</v>
      </c>
      <c r="J1082" t="s">
        <v>54</v>
      </c>
      <c r="K1082">
        <v>165</v>
      </c>
      <c r="L1082">
        <v>4</v>
      </c>
      <c r="M1082">
        <v>167</v>
      </c>
      <c r="N1082">
        <v>0</v>
      </c>
      <c r="O1082" t="s">
        <v>968</v>
      </c>
      <c r="P1082" t="s">
        <v>38</v>
      </c>
      <c r="Q1082">
        <v>0</v>
      </c>
      <c r="R1082">
        <v>10</v>
      </c>
      <c r="S1082" t="s">
        <v>2629</v>
      </c>
      <c r="T1082" t="s">
        <v>1965</v>
      </c>
      <c r="U1082" t="s">
        <v>2219</v>
      </c>
      <c r="V1082" t="s">
        <v>1417</v>
      </c>
      <c r="W1082" t="s">
        <v>146</v>
      </c>
      <c r="X1082" t="s">
        <v>1193</v>
      </c>
      <c r="Y1082" t="s">
        <v>45</v>
      </c>
      <c r="Z1082">
        <v>20</v>
      </c>
      <c r="AA1082">
        <v>6</v>
      </c>
      <c r="AB1082" t="s">
        <v>46</v>
      </c>
      <c r="AC1082" t="s">
        <v>47</v>
      </c>
      <c r="AD1082" t="s">
        <v>2691</v>
      </c>
      <c r="AE1082" t="s">
        <v>2692</v>
      </c>
    </row>
    <row r="1083" spans="1:31" x14ac:dyDescent="0.2">
      <c r="A1083" t="s">
        <v>31</v>
      </c>
      <c r="B1083">
        <v>2024</v>
      </c>
      <c r="C1083">
        <v>58</v>
      </c>
      <c r="D1083" s="1">
        <v>45421</v>
      </c>
      <c r="E1083" t="s">
        <v>578</v>
      </c>
      <c r="F1083" t="s">
        <v>2537</v>
      </c>
      <c r="G1083" t="s">
        <v>2562</v>
      </c>
      <c r="H1083" t="s">
        <v>2080</v>
      </c>
      <c r="I1083" t="s">
        <v>2080</v>
      </c>
      <c r="J1083" t="s">
        <v>37</v>
      </c>
      <c r="K1083">
        <v>241</v>
      </c>
      <c r="L1083">
        <v>7</v>
      </c>
      <c r="M1083">
        <v>181</v>
      </c>
      <c r="N1083">
        <v>10</v>
      </c>
      <c r="O1083" t="s">
        <v>2562</v>
      </c>
      <c r="P1083" t="s">
        <v>38</v>
      </c>
      <c r="Q1083">
        <v>60</v>
      </c>
      <c r="R1083">
        <v>0</v>
      </c>
      <c r="S1083" t="s">
        <v>678</v>
      </c>
      <c r="T1083" t="s">
        <v>2425</v>
      </c>
      <c r="U1083" t="s">
        <v>989</v>
      </c>
      <c r="V1083" t="s">
        <v>1728</v>
      </c>
      <c r="W1083" t="s">
        <v>939</v>
      </c>
      <c r="X1083" t="s">
        <v>2666</v>
      </c>
      <c r="Y1083" t="s">
        <v>45</v>
      </c>
      <c r="Z1083">
        <v>20</v>
      </c>
      <c r="AA1083">
        <v>6</v>
      </c>
      <c r="AB1083" t="s">
        <v>46</v>
      </c>
      <c r="AC1083" t="s">
        <v>47</v>
      </c>
      <c r="AD1083" t="s">
        <v>2693</v>
      </c>
      <c r="AE1083" t="s">
        <v>2694</v>
      </c>
    </row>
    <row r="1084" spans="1:31" x14ac:dyDescent="0.2">
      <c r="A1084" t="s">
        <v>31</v>
      </c>
      <c r="B1084">
        <v>2024</v>
      </c>
      <c r="C1084">
        <v>59</v>
      </c>
      <c r="D1084" s="1">
        <v>45422</v>
      </c>
      <c r="E1084" t="s">
        <v>458</v>
      </c>
      <c r="F1084" t="s">
        <v>2115</v>
      </c>
      <c r="G1084" t="s">
        <v>2214</v>
      </c>
      <c r="H1084" t="s">
        <v>53</v>
      </c>
      <c r="I1084" t="s">
        <v>53</v>
      </c>
      <c r="J1084" t="s">
        <v>37</v>
      </c>
      <c r="K1084">
        <v>231</v>
      </c>
      <c r="L1084">
        <v>3</v>
      </c>
      <c r="M1084">
        <v>196</v>
      </c>
      <c r="N1084">
        <v>8</v>
      </c>
      <c r="O1084" t="s">
        <v>2214</v>
      </c>
      <c r="P1084" t="s">
        <v>38</v>
      </c>
      <c r="Q1084">
        <v>35</v>
      </c>
      <c r="R1084">
        <v>0</v>
      </c>
      <c r="S1084" t="s">
        <v>1930</v>
      </c>
      <c r="T1084" t="s">
        <v>2517</v>
      </c>
      <c r="U1084" t="s">
        <v>463</v>
      </c>
      <c r="V1084" t="s">
        <v>621</v>
      </c>
      <c r="W1084" t="s">
        <v>455</v>
      </c>
      <c r="X1084" t="s">
        <v>2642</v>
      </c>
      <c r="Y1084" t="s">
        <v>45</v>
      </c>
      <c r="Z1084">
        <v>20</v>
      </c>
      <c r="AA1084">
        <v>6</v>
      </c>
      <c r="AB1084" t="s">
        <v>46</v>
      </c>
      <c r="AC1084" t="s">
        <v>47</v>
      </c>
      <c r="AD1084" t="s">
        <v>2695</v>
      </c>
      <c r="AE1084" t="s">
        <v>2696</v>
      </c>
    </row>
    <row r="1085" spans="1:31" x14ac:dyDescent="0.2">
      <c r="A1085" t="s">
        <v>31</v>
      </c>
      <c r="B1085">
        <v>2024</v>
      </c>
      <c r="C1085">
        <v>60</v>
      </c>
      <c r="D1085" s="1">
        <v>45423</v>
      </c>
      <c r="E1085" t="s">
        <v>75</v>
      </c>
      <c r="F1085" t="s">
        <v>2368</v>
      </c>
      <c r="G1085" t="s">
        <v>36</v>
      </c>
      <c r="H1085" t="s">
        <v>87</v>
      </c>
      <c r="I1085" t="s">
        <v>87</v>
      </c>
      <c r="J1085" t="s">
        <v>37</v>
      </c>
      <c r="K1085">
        <v>157</v>
      </c>
      <c r="L1085">
        <v>7</v>
      </c>
      <c r="M1085">
        <v>139</v>
      </c>
      <c r="N1085">
        <v>8</v>
      </c>
      <c r="O1085" t="s">
        <v>36</v>
      </c>
      <c r="P1085" t="s">
        <v>38</v>
      </c>
      <c r="Q1085">
        <v>18</v>
      </c>
      <c r="R1085">
        <v>0</v>
      </c>
      <c r="S1085" t="s">
        <v>2032</v>
      </c>
      <c r="T1085" t="s">
        <v>2215</v>
      </c>
      <c r="U1085" t="s">
        <v>1210</v>
      </c>
      <c r="V1085" t="s">
        <v>2233</v>
      </c>
      <c r="W1085" t="s">
        <v>2143</v>
      </c>
      <c r="X1085" t="s">
        <v>2375</v>
      </c>
      <c r="Y1085" t="s">
        <v>45</v>
      </c>
      <c r="Z1085">
        <v>20</v>
      </c>
      <c r="AA1085">
        <v>6</v>
      </c>
      <c r="AB1085" t="s">
        <v>46</v>
      </c>
      <c r="AC1085" t="s">
        <v>47</v>
      </c>
      <c r="AD1085" t="s">
        <v>2697</v>
      </c>
      <c r="AE1085" t="s">
        <v>2698</v>
      </c>
    </row>
    <row r="1086" spans="1:31" x14ac:dyDescent="0.2">
      <c r="A1086" t="s">
        <v>31</v>
      </c>
      <c r="B1086">
        <v>2024</v>
      </c>
      <c r="C1086">
        <v>61</v>
      </c>
      <c r="D1086" s="1">
        <v>45424</v>
      </c>
      <c r="E1086" t="s">
        <v>108</v>
      </c>
      <c r="F1086" t="s">
        <v>2072</v>
      </c>
      <c r="G1086" t="s">
        <v>66</v>
      </c>
      <c r="H1086" t="s">
        <v>53</v>
      </c>
      <c r="I1086" t="s">
        <v>66</v>
      </c>
      <c r="J1086" t="s">
        <v>54</v>
      </c>
      <c r="K1086">
        <v>141</v>
      </c>
      <c r="L1086">
        <v>5</v>
      </c>
      <c r="M1086">
        <v>145</v>
      </c>
      <c r="N1086">
        <v>5</v>
      </c>
      <c r="O1086" t="s">
        <v>53</v>
      </c>
      <c r="P1086" t="s">
        <v>38</v>
      </c>
      <c r="Q1086">
        <v>0</v>
      </c>
      <c r="R1086">
        <v>5</v>
      </c>
      <c r="S1086" t="s">
        <v>2699</v>
      </c>
      <c r="T1086" t="s">
        <v>1965</v>
      </c>
      <c r="U1086" t="s">
        <v>1193</v>
      </c>
      <c r="V1086" t="s">
        <v>1417</v>
      </c>
      <c r="W1086" t="s">
        <v>146</v>
      </c>
      <c r="X1086" t="s">
        <v>2639</v>
      </c>
      <c r="Y1086" t="s">
        <v>45</v>
      </c>
      <c r="Z1086">
        <v>20</v>
      </c>
      <c r="AA1086">
        <v>6</v>
      </c>
      <c r="AB1086" t="s">
        <v>46</v>
      </c>
      <c r="AC1086" t="s">
        <v>47</v>
      </c>
      <c r="AD1086" t="s">
        <v>2700</v>
      </c>
      <c r="AE1086" t="s">
        <v>2701</v>
      </c>
    </row>
    <row r="1087" spans="1:31" x14ac:dyDescent="0.2">
      <c r="A1087" t="s">
        <v>31</v>
      </c>
      <c r="B1087">
        <v>2024</v>
      </c>
      <c r="C1087">
        <v>62</v>
      </c>
      <c r="D1087" s="1">
        <v>45424</v>
      </c>
      <c r="E1087" t="s">
        <v>1558</v>
      </c>
      <c r="F1087" t="s">
        <v>2393</v>
      </c>
      <c r="G1087" t="s">
        <v>2562</v>
      </c>
      <c r="H1087" t="s">
        <v>1820</v>
      </c>
      <c r="I1087" t="s">
        <v>1820</v>
      </c>
      <c r="J1087" t="s">
        <v>37</v>
      </c>
      <c r="K1087">
        <v>187</v>
      </c>
      <c r="L1087">
        <v>9</v>
      </c>
      <c r="M1087">
        <v>140</v>
      </c>
      <c r="N1087">
        <v>10</v>
      </c>
      <c r="O1087" t="s">
        <v>2562</v>
      </c>
      <c r="P1087" t="s">
        <v>38</v>
      </c>
      <c r="Q1087">
        <v>47</v>
      </c>
      <c r="R1087">
        <v>0</v>
      </c>
      <c r="S1087" t="s">
        <v>2442</v>
      </c>
      <c r="T1087" t="s">
        <v>2425</v>
      </c>
      <c r="U1087" t="s">
        <v>969</v>
      </c>
      <c r="V1087" t="s">
        <v>642</v>
      </c>
      <c r="W1087" t="s">
        <v>989</v>
      </c>
      <c r="X1087" t="s">
        <v>2666</v>
      </c>
      <c r="Y1087" t="s">
        <v>45</v>
      </c>
      <c r="Z1087">
        <v>20</v>
      </c>
      <c r="AA1087">
        <v>6</v>
      </c>
      <c r="AB1087" t="s">
        <v>46</v>
      </c>
      <c r="AC1087" t="s">
        <v>47</v>
      </c>
      <c r="AD1087" t="s">
        <v>2702</v>
      </c>
      <c r="AE1087" t="s">
        <v>2703</v>
      </c>
    </row>
    <row r="1088" spans="1:31" x14ac:dyDescent="0.2">
      <c r="A1088" t="s">
        <v>31</v>
      </c>
      <c r="B1088">
        <v>2024</v>
      </c>
      <c r="C1088">
        <v>64</v>
      </c>
      <c r="D1088" s="1">
        <v>45426</v>
      </c>
      <c r="E1088" t="s">
        <v>63</v>
      </c>
      <c r="F1088" t="s">
        <v>2120</v>
      </c>
      <c r="G1088" t="s">
        <v>1820</v>
      </c>
      <c r="H1088" t="s">
        <v>2213</v>
      </c>
      <c r="I1088" t="s">
        <v>2213</v>
      </c>
      <c r="J1088" t="s">
        <v>37</v>
      </c>
      <c r="K1088">
        <v>208</v>
      </c>
      <c r="L1088">
        <v>4</v>
      </c>
      <c r="M1088">
        <v>189</v>
      </c>
      <c r="N1088">
        <v>9</v>
      </c>
      <c r="O1088" t="s">
        <v>1820</v>
      </c>
      <c r="P1088" t="s">
        <v>38</v>
      </c>
      <c r="Q1088">
        <v>19</v>
      </c>
      <c r="R1088">
        <v>0</v>
      </c>
      <c r="S1088" t="s">
        <v>684</v>
      </c>
      <c r="T1088" t="s">
        <v>2215</v>
      </c>
      <c r="U1088" t="s">
        <v>2228</v>
      </c>
      <c r="V1088" t="s">
        <v>2233</v>
      </c>
      <c r="W1088" t="s">
        <v>463</v>
      </c>
      <c r="X1088" t="s">
        <v>2375</v>
      </c>
      <c r="Y1088" t="s">
        <v>45</v>
      </c>
      <c r="Z1088">
        <v>20</v>
      </c>
      <c r="AA1088">
        <v>6</v>
      </c>
      <c r="AB1088" t="s">
        <v>46</v>
      </c>
      <c r="AC1088" t="s">
        <v>47</v>
      </c>
      <c r="AD1088" t="s">
        <v>2704</v>
      </c>
      <c r="AE1088" t="s">
        <v>2705</v>
      </c>
    </row>
    <row r="1089" spans="1:31" x14ac:dyDescent="0.2">
      <c r="A1089" t="s">
        <v>31</v>
      </c>
      <c r="B1089">
        <v>2024</v>
      </c>
      <c r="C1089">
        <v>65</v>
      </c>
      <c r="D1089" s="1">
        <v>45427</v>
      </c>
      <c r="E1089" t="s">
        <v>2401</v>
      </c>
      <c r="F1089" t="s">
        <v>2402</v>
      </c>
      <c r="G1089" t="s">
        <v>66</v>
      </c>
      <c r="H1089" t="s">
        <v>2080</v>
      </c>
      <c r="I1089" t="s">
        <v>66</v>
      </c>
      <c r="J1089" t="s">
        <v>54</v>
      </c>
      <c r="K1089">
        <v>144</v>
      </c>
      <c r="L1089">
        <v>9</v>
      </c>
      <c r="M1089">
        <v>145</v>
      </c>
      <c r="N1089">
        <v>5</v>
      </c>
      <c r="O1089" t="s">
        <v>2080</v>
      </c>
      <c r="P1089" t="s">
        <v>38</v>
      </c>
      <c r="Q1089">
        <v>0</v>
      </c>
      <c r="R1089">
        <v>5</v>
      </c>
      <c r="S1089" t="s">
        <v>1843</v>
      </c>
      <c r="T1089" t="s">
        <v>1965</v>
      </c>
      <c r="U1089" t="s">
        <v>1193</v>
      </c>
      <c r="V1089" t="s">
        <v>2219</v>
      </c>
      <c r="W1089" t="s">
        <v>146</v>
      </c>
      <c r="X1089" t="s">
        <v>2639</v>
      </c>
      <c r="Y1089" t="s">
        <v>45</v>
      </c>
      <c r="Z1089">
        <v>20</v>
      </c>
      <c r="AA1089">
        <v>6</v>
      </c>
      <c r="AB1089" t="s">
        <v>46</v>
      </c>
      <c r="AC1089" t="s">
        <v>47</v>
      </c>
      <c r="AD1089" t="s">
        <v>2706</v>
      </c>
      <c r="AE1089" t="s">
        <v>2707</v>
      </c>
    </row>
    <row r="1090" spans="1:31" x14ac:dyDescent="0.2">
      <c r="A1090" t="s">
        <v>31</v>
      </c>
      <c r="B1090">
        <v>2024</v>
      </c>
      <c r="C1090">
        <v>67</v>
      </c>
      <c r="D1090" s="1">
        <v>45429</v>
      </c>
      <c r="E1090" t="s">
        <v>85</v>
      </c>
      <c r="F1090" t="s">
        <v>2075</v>
      </c>
      <c r="G1090" t="s">
        <v>2213</v>
      </c>
      <c r="H1090" t="s">
        <v>87</v>
      </c>
      <c r="I1090" t="s">
        <v>87</v>
      </c>
      <c r="J1090" t="s">
        <v>37</v>
      </c>
      <c r="K1090">
        <v>214</v>
      </c>
      <c r="L1090">
        <v>6</v>
      </c>
      <c r="M1090">
        <v>196</v>
      </c>
      <c r="N1090">
        <v>6</v>
      </c>
      <c r="O1090" t="s">
        <v>2213</v>
      </c>
      <c r="P1090" t="s">
        <v>38</v>
      </c>
      <c r="Q1090">
        <v>18</v>
      </c>
      <c r="R1090">
        <v>0</v>
      </c>
      <c r="S1090" t="s">
        <v>2418</v>
      </c>
      <c r="T1090" t="s">
        <v>2517</v>
      </c>
      <c r="U1090" t="s">
        <v>1197</v>
      </c>
      <c r="V1090" t="s">
        <v>1193</v>
      </c>
      <c r="W1090" t="s">
        <v>455</v>
      </c>
      <c r="X1090" t="s">
        <v>2642</v>
      </c>
      <c r="Y1090" t="s">
        <v>45</v>
      </c>
      <c r="Z1090">
        <v>20</v>
      </c>
      <c r="AA1090">
        <v>6</v>
      </c>
      <c r="AB1090" t="s">
        <v>46</v>
      </c>
      <c r="AC1090" t="s">
        <v>47</v>
      </c>
      <c r="AD1090" t="s">
        <v>2708</v>
      </c>
      <c r="AE1090" t="s">
        <v>2709</v>
      </c>
    </row>
    <row r="1091" spans="1:31" x14ac:dyDescent="0.2">
      <c r="A1091" t="s">
        <v>31</v>
      </c>
      <c r="B1091">
        <v>2024</v>
      </c>
      <c r="C1091">
        <v>68</v>
      </c>
      <c r="D1091" s="1">
        <v>45430</v>
      </c>
      <c r="E1091" t="s">
        <v>1558</v>
      </c>
      <c r="F1091" t="s">
        <v>2393</v>
      </c>
      <c r="G1091" t="s">
        <v>2562</v>
      </c>
      <c r="H1091" t="s">
        <v>53</v>
      </c>
      <c r="I1091" t="s">
        <v>53</v>
      </c>
      <c r="J1091" t="s">
        <v>37</v>
      </c>
      <c r="K1091">
        <v>218</v>
      </c>
      <c r="L1091">
        <v>5</v>
      </c>
      <c r="M1091">
        <v>191</v>
      </c>
      <c r="N1091">
        <v>7</v>
      </c>
      <c r="O1091" t="s">
        <v>2562</v>
      </c>
      <c r="P1091" t="s">
        <v>38</v>
      </c>
      <c r="Q1091">
        <v>27</v>
      </c>
      <c r="R1091">
        <v>0</v>
      </c>
      <c r="S1091" t="s">
        <v>822</v>
      </c>
      <c r="T1091" t="s">
        <v>2215</v>
      </c>
      <c r="U1091" t="s">
        <v>2228</v>
      </c>
      <c r="V1091" t="s">
        <v>463</v>
      </c>
      <c r="W1091" t="s">
        <v>2143</v>
      </c>
      <c r="X1091" t="s">
        <v>2375</v>
      </c>
      <c r="Y1091" t="s">
        <v>45</v>
      </c>
      <c r="Z1091">
        <v>20</v>
      </c>
      <c r="AA1091">
        <v>6</v>
      </c>
      <c r="AB1091" t="s">
        <v>46</v>
      </c>
      <c r="AC1091" t="s">
        <v>47</v>
      </c>
      <c r="AD1091" t="s">
        <v>2710</v>
      </c>
      <c r="AE1091" t="s">
        <v>2711</v>
      </c>
    </row>
    <row r="1092" spans="1:31" x14ac:dyDescent="0.2">
      <c r="A1092" t="s">
        <v>31</v>
      </c>
      <c r="B1092">
        <v>2024</v>
      </c>
      <c r="C1092">
        <v>69</v>
      </c>
      <c r="D1092" s="1">
        <v>45431</v>
      </c>
      <c r="E1092" t="s">
        <v>101</v>
      </c>
      <c r="F1092" t="s">
        <v>2389</v>
      </c>
      <c r="G1092" t="s">
        <v>2080</v>
      </c>
      <c r="H1092" t="s">
        <v>968</v>
      </c>
      <c r="I1092" t="s">
        <v>2080</v>
      </c>
      <c r="J1092" t="s">
        <v>54</v>
      </c>
      <c r="K1092">
        <v>214</v>
      </c>
      <c r="L1092">
        <v>5</v>
      </c>
      <c r="M1092">
        <v>215</v>
      </c>
      <c r="N1092">
        <v>6</v>
      </c>
      <c r="O1092" t="s">
        <v>968</v>
      </c>
      <c r="P1092" t="s">
        <v>38</v>
      </c>
      <c r="Q1092">
        <v>0</v>
      </c>
      <c r="R1092">
        <v>4</v>
      </c>
      <c r="S1092" t="s">
        <v>2249</v>
      </c>
      <c r="T1092" t="s">
        <v>1772</v>
      </c>
      <c r="U1092" t="s">
        <v>989</v>
      </c>
      <c r="V1092" t="s">
        <v>939</v>
      </c>
      <c r="W1092" t="s">
        <v>1728</v>
      </c>
      <c r="X1092" t="s">
        <v>2666</v>
      </c>
      <c r="Y1092" t="s">
        <v>45</v>
      </c>
      <c r="Z1092">
        <v>20</v>
      </c>
      <c r="AA1092">
        <v>6</v>
      </c>
      <c r="AB1092" t="s">
        <v>46</v>
      </c>
      <c r="AC1092" t="s">
        <v>47</v>
      </c>
      <c r="AD1092" t="s">
        <v>2712</v>
      </c>
      <c r="AE1092" t="s">
        <v>2713</v>
      </c>
    </row>
    <row r="1093" spans="1:31" x14ac:dyDescent="0.2">
      <c r="A1093" t="s">
        <v>31</v>
      </c>
      <c r="B1093">
        <v>2024</v>
      </c>
      <c r="C1093" t="s">
        <v>256</v>
      </c>
      <c r="D1093" s="1">
        <v>45433</v>
      </c>
      <c r="E1093" t="s">
        <v>458</v>
      </c>
      <c r="F1093" t="s">
        <v>2115</v>
      </c>
      <c r="G1093" t="s">
        <v>968</v>
      </c>
      <c r="H1093" t="s">
        <v>36</v>
      </c>
      <c r="I1093" t="s">
        <v>968</v>
      </c>
      <c r="J1093" t="s">
        <v>54</v>
      </c>
      <c r="K1093">
        <v>159</v>
      </c>
      <c r="L1093">
        <v>10</v>
      </c>
      <c r="M1093">
        <v>164</v>
      </c>
      <c r="N1093">
        <v>2</v>
      </c>
      <c r="O1093" t="s">
        <v>36</v>
      </c>
      <c r="P1093" t="s">
        <v>38</v>
      </c>
      <c r="Q1093">
        <v>0</v>
      </c>
      <c r="R1093">
        <v>8</v>
      </c>
      <c r="S1093" t="s">
        <v>1325</v>
      </c>
      <c r="T1093" t="s">
        <v>40</v>
      </c>
      <c r="U1093" t="s">
        <v>146</v>
      </c>
      <c r="V1093" t="s">
        <v>1193</v>
      </c>
      <c r="W1093" t="s">
        <v>463</v>
      </c>
      <c r="X1093" t="s">
        <v>2219</v>
      </c>
      <c r="Y1093" t="s">
        <v>45</v>
      </c>
      <c r="Z1093">
        <v>20</v>
      </c>
      <c r="AA1093">
        <v>6</v>
      </c>
      <c r="AB1093" t="s">
        <v>46</v>
      </c>
      <c r="AC1093" t="s">
        <v>47</v>
      </c>
      <c r="AD1093" t="s">
        <v>2714</v>
      </c>
      <c r="AE1093" t="s">
        <v>2715</v>
      </c>
    </row>
    <row r="1094" spans="1:31" x14ac:dyDescent="0.2">
      <c r="A1094" t="s">
        <v>31</v>
      </c>
      <c r="B1094">
        <v>2024</v>
      </c>
      <c r="C1094" t="s">
        <v>256</v>
      </c>
      <c r="D1094" s="1">
        <v>45434</v>
      </c>
      <c r="E1094" t="s">
        <v>458</v>
      </c>
      <c r="F1094" t="s">
        <v>2115</v>
      </c>
      <c r="G1094" t="s">
        <v>2562</v>
      </c>
      <c r="H1094" t="s">
        <v>66</v>
      </c>
      <c r="I1094" t="s">
        <v>66</v>
      </c>
      <c r="J1094" t="s">
        <v>37</v>
      </c>
      <c r="K1094">
        <v>172</v>
      </c>
      <c r="L1094">
        <v>8</v>
      </c>
      <c r="M1094">
        <v>174</v>
      </c>
      <c r="N1094">
        <v>6</v>
      </c>
      <c r="O1094" t="s">
        <v>66</v>
      </c>
      <c r="P1094" t="s">
        <v>38</v>
      </c>
      <c r="Q1094">
        <v>0</v>
      </c>
      <c r="R1094">
        <v>4</v>
      </c>
      <c r="S1094" t="s">
        <v>571</v>
      </c>
      <c r="T1094" t="s">
        <v>1553</v>
      </c>
      <c r="U1094" t="s">
        <v>463</v>
      </c>
      <c r="V1094" t="s">
        <v>2219</v>
      </c>
      <c r="W1094" t="s">
        <v>146</v>
      </c>
      <c r="X1094" t="s">
        <v>1193</v>
      </c>
      <c r="Y1094" t="s">
        <v>45</v>
      </c>
      <c r="Z1094">
        <v>20</v>
      </c>
      <c r="AA1094">
        <v>6</v>
      </c>
      <c r="AB1094" t="s">
        <v>46</v>
      </c>
      <c r="AC1094" t="s">
        <v>47</v>
      </c>
      <c r="AD1094" t="s">
        <v>2716</v>
      </c>
      <c r="AE1094" t="s">
        <v>2717</v>
      </c>
    </row>
    <row r="1095" spans="1:31" x14ac:dyDescent="0.2">
      <c r="A1095" t="s">
        <v>31</v>
      </c>
      <c r="B1095">
        <v>2024</v>
      </c>
      <c r="C1095" t="s">
        <v>256</v>
      </c>
      <c r="D1095" s="1">
        <v>45436</v>
      </c>
      <c r="E1095" t="s">
        <v>108</v>
      </c>
      <c r="F1095" t="s">
        <v>2072</v>
      </c>
      <c r="G1095" t="s">
        <v>968</v>
      </c>
      <c r="H1095" t="s">
        <v>66</v>
      </c>
      <c r="I1095" t="s">
        <v>66</v>
      </c>
      <c r="J1095" t="s">
        <v>37</v>
      </c>
      <c r="K1095">
        <v>175</v>
      </c>
      <c r="L1095">
        <v>9</v>
      </c>
      <c r="M1095">
        <v>139</v>
      </c>
      <c r="N1095">
        <v>7</v>
      </c>
      <c r="O1095" t="s">
        <v>968</v>
      </c>
      <c r="P1095" t="s">
        <v>38</v>
      </c>
      <c r="Q1095">
        <v>36</v>
      </c>
      <c r="R1095">
        <v>0</v>
      </c>
      <c r="S1095" t="s">
        <v>2718</v>
      </c>
      <c r="T1095" t="s">
        <v>40</v>
      </c>
      <c r="U1095" t="s">
        <v>989</v>
      </c>
      <c r="V1095" t="s">
        <v>939</v>
      </c>
      <c r="W1095" t="s">
        <v>2143</v>
      </c>
      <c r="X1095" t="s">
        <v>455</v>
      </c>
      <c r="Y1095" t="s">
        <v>45</v>
      </c>
      <c r="Z1095">
        <v>20</v>
      </c>
      <c r="AA1095">
        <v>6</v>
      </c>
      <c r="AB1095" t="s">
        <v>46</v>
      </c>
      <c r="AC1095" t="s">
        <v>47</v>
      </c>
      <c r="AD1095" t="s">
        <v>2719</v>
      </c>
      <c r="AE1095" t="s">
        <v>2720</v>
      </c>
    </row>
    <row r="1096" spans="1:31" x14ac:dyDescent="0.2">
      <c r="A1096" t="s">
        <v>31</v>
      </c>
      <c r="B1096">
        <v>2024</v>
      </c>
      <c r="C1096" t="s">
        <v>256</v>
      </c>
      <c r="D1096" s="1">
        <v>45438</v>
      </c>
      <c r="E1096" t="s">
        <v>108</v>
      </c>
      <c r="F1096" t="s">
        <v>2072</v>
      </c>
      <c r="G1096" t="s">
        <v>968</v>
      </c>
      <c r="H1096" t="s">
        <v>36</v>
      </c>
      <c r="I1096" t="s">
        <v>968</v>
      </c>
      <c r="J1096" t="s">
        <v>54</v>
      </c>
      <c r="K1096">
        <v>113</v>
      </c>
      <c r="L1096">
        <v>10</v>
      </c>
      <c r="M1096">
        <v>114</v>
      </c>
      <c r="N1096">
        <v>2</v>
      </c>
      <c r="O1096" t="s">
        <v>36</v>
      </c>
      <c r="P1096" t="s">
        <v>38</v>
      </c>
      <c r="Q1096">
        <v>0</v>
      </c>
      <c r="R1096">
        <v>8</v>
      </c>
      <c r="S1096" t="s">
        <v>1325</v>
      </c>
      <c r="T1096" t="s">
        <v>1279</v>
      </c>
      <c r="U1096" t="s">
        <v>455</v>
      </c>
      <c r="V1096" t="s">
        <v>989</v>
      </c>
      <c r="W1096" t="s">
        <v>2143</v>
      </c>
      <c r="X1096" t="s">
        <v>939</v>
      </c>
      <c r="Y1096" t="s">
        <v>45</v>
      </c>
      <c r="Z1096">
        <v>20</v>
      </c>
      <c r="AA1096">
        <v>6</v>
      </c>
      <c r="AB1096" t="s">
        <v>46</v>
      </c>
      <c r="AC1096" t="s">
        <v>47</v>
      </c>
      <c r="AD1096" t="s">
        <v>2721</v>
      </c>
      <c r="AE1096" t="s">
        <v>2715</v>
      </c>
    </row>
    <row r="1097" spans="1:31" x14ac:dyDescent="0.2">
      <c r="A1097" t="s">
        <v>31</v>
      </c>
      <c r="B1097">
        <v>2025</v>
      </c>
      <c r="C1097">
        <v>1</v>
      </c>
      <c r="D1097" s="1">
        <v>45738</v>
      </c>
      <c r="E1097" t="s">
        <v>75</v>
      </c>
      <c r="F1097" t="s">
        <v>2368</v>
      </c>
      <c r="G1097" t="s">
        <v>36</v>
      </c>
      <c r="H1097" t="s">
        <v>2562</v>
      </c>
      <c r="I1097" t="s">
        <v>2562</v>
      </c>
      <c r="J1097" t="s">
        <v>37</v>
      </c>
      <c r="K1097">
        <v>174</v>
      </c>
      <c r="L1097">
        <v>8</v>
      </c>
      <c r="M1097">
        <v>177</v>
      </c>
      <c r="N1097">
        <v>3</v>
      </c>
      <c r="O1097" t="s">
        <v>2562</v>
      </c>
      <c r="P1097" t="s">
        <v>38</v>
      </c>
      <c r="Q1097">
        <v>0</v>
      </c>
      <c r="R1097">
        <v>7</v>
      </c>
      <c r="S1097" t="s">
        <v>1503</v>
      </c>
      <c r="T1097" t="s">
        <v>1772</v>
      </c>
      <c r="U1097" t="s">
        <v>2375</v>
      </c>
      <c r="V1097" t="s">
        <v>2233</v>
      </c>
      <c r="W1097" t="s">
        <v>455</v>
      </c>
      <c r="X1097" t="s">
        <v>2722</v>
      </c>
      <c r="Y1097" t="s">
        <v>45</v>
      </c>
      <c r="Z1097">
        <v>20</v>
      </c>
      <c r="AA1097">
        <v>6</v>
      </c>
      <c r="AB1097" t="s">
        <v>46</v>
      </c>
      <c r="AC1097" t="s">
        <v>47</v>
      </c>
      <c r="AD1097" t="s">
        <v>2723</v>
      </c>
      <c r="AE1097" t="s">
        <v>2724</v>
      </c>
    </row>
    <row r="1098" spans="1:31" x14ac:dyDescent="0.2">
      <c r="A1098" t="s">
        <v>31</v>
      </c>
      <c r="B1098">
        <v>2025</v>
      </c>
      <c r="C1098">
        <v>2</v>
      </c>
      <c r="D1098" s="1">
        <v>45739</v>
      </c>
      <c r="E1098" t="s">
        <v>101</v>
      </c>
      <c r="F1098" t="s">
        <v>2389</v>
      </c>
      <c r="G1098" t="s">
        <v>968</v>
      </c>
      <c r="H1098" t="s">
        <v>66</v>
      </c>
      <c r="I1098" t="s">
        <v>66</v>
      </c>
      <c r="J1098" t="s">
        <v>37</v>
      </c>
      <c r="K1098">
        <v>286</v>
      </c>
      <c r="L1098">
        <v>6</v>
      </c>
      <c r="M1098">
        <v>242</v>
      </c>
      <c r="N1098">
        <v>6</v>
      </c>
      <c r="O1098" t="s">
        <v>968</v>
      </c>
      <c r="P1098" t="s">
        <v>38</v>
      </c>
      <c r="Q1098">
        <v>44</v>
      </c>
      <c r="R1098">
        <v>0</v>
      </c>
      <c r="S1098" t="s">
        <v>1771</v>
      </c>
      <c r="T1098" t="s">
        <v>1965</v>
      </c>
      <c r="U1098" t="s">
        <v>2725</v>
      </c>
      <c r="V1098" t="s">
        <v>2228</v>
      </c>
      <c r="W1098" t="s">
        <v>1193</v>
      </c>
      <c r="X1098" t="s">
        <v>2636</v>
      </c>
      <c r="Y1098" t="s">
        <v>45</v>
      </c>
      <c r="Z1098">
        <v>20</v>
      </c>
      <c r="AA1098">
        <v>6</v>
      </c>
      <c r="AB1098" t="s">
        <v>46</v>
      </c>
      <c r="AC1098" t="s">
        <v>47</v>
      </c>
      <c r="AD1098" t="s">
        <v>2726</v>
      </c>
      <c r="AE1098" t="s">
        <v>2727</v>
      </c>
    </row>
    <row r="1099" spans="1:31" x14ac:dyDescent="0.2">
      <c r="A1099" t="s">
        <v>31</v>
      </c>
      <c r="B1099">
        <v>2025</v>
      </c>
      <c r="C1099">
        <v>3</v>
      </c>
      <c r="D1099" s="1">
        <v>45739</v>
      </c>
      <c r="E1099" t="s">
        <v>108</v>
      </c>
      <c r="F1099" t="s">
        <v>2072</v>
      </c>
      <c r="G1099" t="s">
        <v>87</v>
      </c>
      <c r="H1099" t="s">
        <v>53</v>
      </c>
      <c r="I1099" t="s">
        <v>53</v>
      </c>
      <c r="J1099" t="s">
        <v>37</v>
      </c>
      <c r="K1099">
        <v>155</v>
      </c>
      <c r="L1099">
        <v>9</v>
      </c>
      <c r="M1099">
        <v>158</v>
      </c>
      <c r="N1099">
        <v>6</v>
      </c>
      <c r="O1099" t="s">
        <v>53</v>
      </c>
      <c r="P1099" t="s">
        <v>38</v>
      </c>
      <c r="Q1099">
        <v>0</v>
      </c>
      <c r="R1099">
        <v>4</v>
      </c>
      <c r="S1099" t="s">
        <v>2728</v>
      </c>
      <c r="T1099" t="s">
        <v>40</v>
      </c>
      <c r="U1099" t="s">
        <v>463</v>
      </c>
      <c r="V1099" t="s">
        <v>1728</v>
      </c>
      <c r="W1099" t="s">
        <v>989</v>
      </c>
      <c r="X1099" t="s">
        <v>2666</v>
      </c>
      <c r="Y1099" t="s">
        <v>45</v>
      </c>
      <c r="Z1099">
        <v>20</v>
      </c>
      <c r="AA1099">
        <v>6</v>
      </c>
      <c r="AB1099" t="s">
        <v>46</v>
      </c>
      <c r="AC1099" t="s">
        <v>47</v>
      </c>
      <c r="AD1099" t="s">
        <v>2729</v>
      </c>
      <c r="AE1099" t="s">
        <v>2730</v>
      </c>
    </row>
    <row r="1100" spans="1:31" x14ac:dyDescent="0.2">
      <c r="A1100" t="s">
        <v>31</v>
      </c>
      <c r="B1100">
        <v>2025</v>
      </c>
      <c r="C1100">
        <v>4</v>
      </c>
      <c r="D1100" s="1">
        <v>45740</v>
      </c>
      <c r="E1100" t="s">
        <v>800</v>
      </c>
      <c r="F1100" t="s">
        <v>2591</v>
      </c>
      <c r="G1100" t="s">
        <v>2213</v>
      </c>
      <c r="H1100" t="s">
        <v>1820</v>
      </c>
      <c r="I1100" t="s">
        <v>1820</v>
      </c>
      <c r="J1100" t="s">
        <v>37</v>
      </c>
      <c r="K1100">
        <v>209</v>
      </c>
      <c r="L1100">
        <v>8</v>
      </c>
      <c r="M1100">
        <v>211</v>
      </c>
      <c r="N1100">
        <v>9</v>
      </c>
      <c r="O1100" t="s">
        <v>1820</v>
      </c>
      <c r="P1100" t="s">
        <v>38</v>
      </c>
      <c r="Q1100">
        <v>0</v>
      </c>
      <c r="R1100">
        <v>1</v>
      </c>
      <c r="S1100" t="s">
        <v>2731</v>
      </c>
      <c r="T1100" t="s">
        <v>1553</v>
      </c>
      <c r="U1100" t="s">
        <v>2390</v>
      </c>
      <c r="V1100" t="s">
        <v>1210</v>
      </c>
      <c r="W1100" t="s">
        <v>939</v>
      </c>
      <c r="X1100" t="s">
        <v>2732</v>
      </c>
      <c r="Y1100" t="s">
        <v>45</v>
      </c>
      <c r="Z1100">
        <v>20</v>
      </c>
      <c r="AA1100">
        <v>6</v>
      </c>
      <c r="AB1100" t="s">
        <v>46</v>
      </c>
      <c r="AC1100" t="s">
        <v>47</v>
      </c>
      <c r="AD1100" t="s">
        <v>2733</v>
      </c>
      <c r="AE1100" t="s">
        <v>2734</v>
      </c>
    </row>
    <row r="1101" spans="1:31" x14ac:dyDescent="0.2">
      <c r="A1101" t="s">
        <v>31</v>
      </c>
      <c r="B1101">
        <v>2025</v>
      </c>
      <c r="C1101">
        <v>5</v>
      </c>
      <c r="D1101" s="1">
        <v>45741</v>
      </c>
      <c r="E1101" t="s">
        <v>458</v>
      </c>
      <c r="F1101" t="s">
        <v>2115</v>
      </c>
      <c r="G1101" t="s">
        <v>2080</v>
      </c>
      <c r="H1101" t="s">
        <v>2214</v>
      </c>
      <c r="I1101" t="s">
        <v>2214</v>
      </c>
      <c r="J1101" t="s">
        <v>37</v>
      </c>
      <c r="K1101">
        <v>243</v>
      </c>
      <c r="L1101">
        <v>5</v>
      </c>
      <c r="M1101">
        <v>232</v>
      </c>
      <c r="N1101">
        <v>5</v>
      </c>
      <c r="O1101" t="s">
        <v>2080</v>
      </c>
      <c r="P1101" t="s">
        <v>38</v>
      </c>
      <c r="Q1101">
        <v>11</v>
      </c>
      <c r="R1101">
        <v>0</v>
      </c>
      <c r="S1101" t="s">
        <v>1322</v>
      </c>
      <c r="T1101" t="s">
        <v>1772</v>
      </c>
      <c r="U1101" t="s">
        <v>2375</v>
      </c>
      <c r="V1101" t="s">
        <v>2233</v>
      </c>
      <c r="W1101" t="s">
        <v>455</v>
      </c>
      <c r="X1101" t="s">
        <v>2722</v>
      </c>
      <c r="Y1101" t="s">
        <v>45</v>
      </c>
      <c r="Z1101">
        <v>20</v>
      </c>
      <c r="AA1101">
        <v>6</v>
      </c>
      <c r="AB1101" t="s">
        <v>46</v>
      </c>
      <c r="AC1101" t="s">
        <v>47</v>
      </c>
      <c r="AD1101" t="s">
        <v>2735</v>
      </c>
      <c r="AE1101" t="s">
        <v>2736</v>
      </c>
    </row>
    <row r="1102" spans="1:31" x14ac:dyDescent="0.2">
      <c r="A1102" t="s">
        <v>31</v>
      </c>
      <c r="B1102">
        <v>2025</v>
      </c>
      <c r="C1102">
        <v>6</v>
      </c>
      <c r="D1102" s="1">
        <v>45742</v>
      </c>
      <c r="E1102" t="s">
        <v>2401</v>
      </c>
      <c r="F1102" t="s">
        <v>2402</v>
      </c>
      <c r="G1102" t="s">
        <v>66</v>
      </c>
      <c r="H1102" t="s">
        <v>36</v>
      </c>
      <c r="I1102" t="s">
        <v>36</v>
      </c>
      <c r="J1102" t="s">
        <v>37</v>
      </c>
      <c r="K1102">
        <v>151</v>
      </c>
      <c r="L1102">
        <v>9</v>
      </c>
      <c r="M1102">
        <v>153</v>
      </c>
      <c r="N1102">
        <v>2</v>
      </c>
      <c r="O1102" t="s">
        <v>36</v>
      </c>
      <c r="P1102" t="s">
        <v>38</v>
      </c>
      <c r="Q1102">
        <v>0</v>
      </c>
      <c r="R1102">
        <v>8</v>
      </c>
      <c r="S1102" t="s">
        <v>1434</v>
      </c>
      <c r="T1102" t="s">
        <v>1965</v>
      </c>
      <c r="U1102" t="s">
        <v>2228</v>
      </c>
      <c r="V1102" t="s">
        <v>1193</v>
      </c>
      <c r="W1102" t="s">
        <v>2725</v>
      </c>
      <c r="X1102" t="s">
        <v>2636</v>
      </c>
      <c r="Y1102" t="s">
        <v>45</v>
      </c>
      <c r="Z1102">
        <v>20</v>
      </c>
      <c r="AA1102">
        <v>6</v>
      </c>
      <c r="AB1102" t="s">
        <v>46</v>
      </c>
      <c r="AC1102" t="s">
        <v>47</v>
      </c>
      <c r="AD1102" t="s">
        <v>2737</v>
      </c>
      <c r="AE1102" t="s">
        <v>2738</v>
      </c>
    </row>
    <row r="1103" spans="1:31" x14ac:dyDescent="0.2">
      <c r="A1103" t="s">
        <v>31</v>
      </c>
      <c r="B1103">
        <v>2025</v>
      </c>
      <c r="C1103">
        <v>7</v>
      </c>
      <c r="D1103" s="1">
        <v>45743</v>
      </c>
      <c r="E1103" t="s">
        <v>101</v>
      </c>
      <c r="F1103" t="s">
        <v>2389</v>
      </c>
      <c r="G1103" t="s">
        <v>968</v>
      </c>
      <c r="H1103" t="s">
        <v>2213</v>
      </c>
      <c r="I1103" t="s">
        <v>2213</v>
      </c>
      <c r="J1103" t="s">
        <v>37</v>
      </c>
      <c r="K1103">
        <v>190</v>
      </c>
      <c r="L1103">
        <v>9</v>
      </c>
      <c r="M1103">
        <v>193</v>
      </c>
      <c r="N1103">
        <v>5</v>
      </c>
      <c r="O1103" t="s">
        <v>2213</v>
      </c>
      <c r="P1103" t="s">
        <v>38</v>
      </c>
      <c r="Q1103">
        <v>0</v>
      </c>
      <c r="R1103">
        <v>5</v>
      </c>
      <c r="S1103" t="s">
        <v>2354</v>
      </c>
      <c r="T1103" t="s">
        <v>1553</v>
      </c>
      <c r="U1103" t="s">
        <v>2390</v>
      </c>
      <c r="V1103" t="s">
        <v>1210</v>
      </c>
      <c r="W1103" t="s">
        <v>939</v>
      </c>
      <c r="X1103" t="s">
        <v>2732</v>
      </c>
      <c r="Y1103" t="s">
        <v>45</v>
      </c>
      <c r="Z1103">
        <v>20</v>
      </c>
      <c r="AA1103">
        <v>6</v>
      </c>
      <c r="AB1103" t="s">
        <v>46</v>
      </c>
      <c r="AC1103" t="s">
        <v>47</v>
      </c>
      <c r="AD1103" t="s">
        <v>2739</v>
      </c>
      <c r="AE1103" t="s">
        <v>2740</v>
      </c>
    </row>
    <row r="1104" spans="1:31" x14ac:dyDescent="0.2">
      <c r="A1104" t="s">
        <v>31</v>
      </c>
      <c r="B1104">
        <v>2025</v>
      </c>
      <c r="C1104">
        <v>8</v>
      </c>
      <c r="D1104" s="1">
        <v>45744</v>
      </c>
      <c r="E1104" t="s">
        <v>108</v>
      </c>
      <c r="F1104" t="s">
        <v>2072</v>
      </c>
      <c r="G1104" t="s">
        <v>2562</v>
      </c>
      <c r="H1104" t="s">
        <v>53</v>
      </c>
      <c r="I1104" t="s">
        <v>53</v>
      </c>
      <c r="J1104" t="s">
        <v>37</v>
      </c>
      <c r="K1104">
        <v>196</v>
      </c>
      <c r="L1104">
        <v>7</v>
      </c>
      <c r="M1104">
        <v>146</v>
      </c>
      <c r="N1104">
        <v>8</v>
      </c>
      <c r="O1104" t="s">
        <v>2562</v>
      </c>
      <c r="P1104" t="s">
        <v>38</v>
      </c>
      <c r="Q1104">
        <v>50</v>
      </c>
      <c r="R1104">
        <v>0</v>
      </c>
      <c r="S1104" t="s">
        <v>2370</v>
      </c>
      <c r="T1104" t="s">
        <v>40</v>
      </c>
      <c r="U1104" t="s">
        <v>989</v>
      </c>
      <c r="V1104" t="s">
        <v>1728</v>
      </c>
      <c r="W1104" t="s">
        <v>463</v>
      </c>
      <c r="X1104" t="s">
        <v>2666</v>
      </c>
      <c r="Y1104" t="s">
        <v>45</v>
      </c>
      <c r="Z1104">
        <v>20</v>
      </c>
      <c r="AA1104">
        <v>6</v>
      </c>
      <c r="AB1104" t="s">
        <v>46</v>
      </c>
      <c r="AC1104" t="s">
        <v>47</v>
      </c>
      <c r="AD1104" t="s">
        <v>2741</v>
      </c>
      <c r="AE1104" t="s">
        <v>2742</v>
      </c>
    </row>
    <row r="1105" spans="1:31" x14ac:dyDescent="0.2">
      <c r="A1105" t="s">
        <v>31</v>
      </c>
      <c r="B1105">
        <v>2025</v>
      </c>
      <c r="C1105">
        <v>9</v>
      </c>
      <c r="D1105" s="1">
        <v>45745</v>
      </c>
      <c r="E1105" t="s">
        <v>458</v>
      </c>
      <c r="F1105" t="s">
        <v>2115</v>
      </c>
      <c r="G1105" t="s">
        <v>2214</v>
      </c>
      <c r="H1105" t="s">
        <v>87</v>
      </c>
      <c r="I1105" t="s">
        <v>87</v>
      </c>
      <c r="J1105" t="s">
        <v>37</v>
      </c>
      <c r="K1105">
        <v>196</v>
      </c>
      <c r="L1105">
        <v>8</v>
      </c>
      <c r="M1105">
        <v>160</v>
      </c>
      <c r="N1105">
        <v>6</v>
      </c>
      <c r="O1105" t="s">
        <v>2214</v>
      </c>
      <c r="P1105" t="s">
        <v>38</v>
      </c>
      <c r="Q1105">
        <v>36</v>
      </c>
      <c r="R1105">
        <v>0</v>
      </c>
      <c r="S1105" t="s">
        <v>2743</v>
      </c>
      <c r="T1105" t="s">
        <v>1772</v>
      </c>
      <c r="U1105" t="s">
        <v>2375</v>
      </c>
      <c r="V1105" t="s">
        <v>2233</v>
      </c>
      <c r="W1105" t="s">
        <v>455</v>
      </c>
      <c r="X1105" t="s">
        <v>2722</v>
      </c>
      <c r="Y1105" t="s">
        <v>45</v>
      </c>
      <c r="Z1105">
        <v>20</v>
      </c>
      <c r="AA1105">
        <v>6</v>
      </c>
      <c r="AB1105" t="s">
        <v>46</v>
      </c>
      <c r="AC1105" t="s">
        <v>47</v>
      </c>
      <c r="AD1105" t="s">
        <v>2744</v>
      </c>
      <c r="AE1105" t="s">
        <v>2745</v>
      </c>
    </row>
    <row r="1106" spans="1:31" x14ac:dyDescent="0.2">
      <c r="A1106" t="s">
        <v>31</v>
      </c>
      <c r="B1106">
        <v>2025</v>
      </c>
      <c r="C1106">
        <v>10</v>
      </c>
      <c r="D1106" s="1">
        <v>45746</v>
      </c>
      <c r="E1106" t="s">
        <v>800</v>
      </c>
      <c r="F1106" t="s">
        <v>2591</v>
      </c>
      <c r="G1106" t="s">
        <v>968</v>
      </c>
      <c r="H1106" t="s">
        <v>1820</v>
      </c>
      <c r="I1106" t="s">
        <v>968</v>
      </c>
      <c r="J1106" t="s">
        <v>54</v>
      </c>
      <c r="K1106">
        <v>163</v>
      </c>
      <c r="L1106">
        <v>10</v>
      </c>
      <c r="M1106">
        <v>166</v>
      </c>
      <c r="N1106">
        <v>3</v>
      </c>
      <c r="O1106" t="s">
        <v>1820</v>
      </c>
      <c r="P1106" t="s">
        <v>38</v>
      </c>
      <c r="Q1106">
        <v>0</v>
      </c>
      <c r="R1106">
        <v>7</v>
      </c>
      <c r="S1106" t="s">
        <v>1325</v>
      </c>
      <c r="T1106" t="s">
        <v>1553</v>
      </c>
      <c r="U1106" t="s">
        <v>2390</v>
      </c>
      <c r="V1106" t="s">
        <v>1210</v>
      </c>
      <c r="W1106" t="s">
        <v>939</v>
      </c>
      <c r="X1106" t="s">
        <v>2732</v>
      </c>
      <c r="Y1106" t="s">
        <v>45</v>
      </c>
      <c r="Z1106">
        <v>20</v>
      </c>
      <c r="AA1106">
        <v>6</v>
      </c>
      <c r="AB1106" t="s">
        <v>46</v>
      </c>
      <c r="AC1106" t="s">
        <v>47</v>
      </c>
      <c r="AD1106" t="s">
        <v>2746</v>
      </c>
      <c r="AE1106" t="s">
        <v>2747</v>
      </c>
    </row>
    <row r="1107" spans="1:31" x14ac:dyDescent="0.2">
      <c r="A1107" t="s">
        <v>31</v>
      </c>
      <c r="B1107">
        <v>2025</v>
      </c>
      <c r="C1107">
        <v>11</v>
      </c>
      <c r="D1107" s="1">
        <v>45746</v>
      </c>
      <c r="E1107" t="s">
        <v>2401</v>
      </c>
      <c r="F1107" t="s">
        <v>2402</v>
      </c>
      <c r="G1107" t="s">
        <v>66</v>
      </c>
      <c r="H1107" t="s">
        <v>53</v>
      </c>
      <c r="I1107" t="s">
        <v>53</v>
      </c>
      <c r="J1107" t="s">
        <v>37</v>
      </c>
      <c r="K1107">
        <v>182</v>
      </c>
      <c r="L1107">
        <v>9</v>
      </c>
      <c r="M1107">
        <v>176</v>
      </c>
      <c r="N1107">
        <v>6</v>
      </c>
      <c r="O1107" t="s">
        <v>66</v>
      </c>
      <c r="P1107" t="s">
        <v>38</v>
      </c>
      <c r="Q1107">
        <v>6</v>
      </c>
      <c r="R1107">
        <v>0</v>
      </c>
      <c r="S1107" t="s">
        <v>1564</v>
      </c>
      <c r="T1107" t="s">
        <v>1965</v>
      </c>
      <c r="U1107" t="s">
        <v>2725</v>
      </c>
      <c r="V1107" t="s">
        <v>2228</v>
      </c>
      <c r="W1107" t="s">
        <v>1193</v>
      </c>
      <c r="X1107" t="s">
        <v>2636</v>
      </c>
      <c r="Y1107" t="s">
        <v>45</v>
      </c>
      <c r="Z1107">
        <v>20</v>
      </c>
      <c r="AA1107">
        <v>6</v>
      </c>
      <c r="AB1107" t="s">
        <v>46</v>
      </c>
      <c r="AC1107" t="s">
        <v>47</v>
      </c>
      <c r="AD1107" t="s">
        <v>2748</v>
      </c>
      <c r="AE1107" t="s">
        <v>2749</v>
      </c>
    </row>
    <row r="1108" spans="1:31" x14ac:dyDescent="0.2">
      <c r="A1108" t="s">
        <v>31</v>
      </c>
      <c r="B1108">
        <v>2025</v>
      </c>
      <c r="C1108">
        <v>12</v>
      </c>
      <c r="D1108" s="1">
        <v>45747</v>
      </c>
      <c r="E1108" t="s">
        <v>85</v>
      </c>
      <c r="F1108" t="s">
        <v>2075</v>
      </c>
      <c r="G1108" t="s">
        <v>36</v>
      </c>
      <c r="H1108" t="s">
        <v>87</v>
      </c>
      <c r="I1108" t="s">
        <v>87</v>
      </c>
      <c r="J1108" t="s">
        <v>37</v>
      </c>
      <c r="K1108">
        <v>116</v>
      </c>
      <c r="L1108">
        <v>10</v>
      </c>
      <c r="M1108">
        <v>121</v>
      </c>
      <c r="N1108">
        <v>2</v>
      </c>
      <c r="O1108" t="s">
        <v>87</v>
      </c>
      <c r="P1108" t="s">
        <v>38</v>
      </c>
      <c r="Q1108">
        <v>0</v>
      </c>
      <c r="R1108">
        <v>8</v>
      </c>
      <c r="S1108" t="s">
        <v>2750</v>
      </c>
      <c r="T1108" t="s">
        <v>40</v>
      </c>
      <c r="U1108" t="s">
        <v>2219</v>
      </c>
      <c r="V1108" t="s">
        <v>1728</v>
      </c>
      <c r="W1108" t="s">
        <v>989</v>
      </c>
      <c r="X1108" t="s">
        <v>2666</v>
      </c>
      <c r="Y1108" t="s">
        <v>45</v>
      </c>
      <c r="Z1108">
        <v>20</v>
      </c>
      <c r="AA1108">
        <v>6</v>
      </c>
      <c r="AB1108" t="s">
        <v>46</v>
      </c>
      <c r="AC1108" t="s">
        <v>47</v>
      </c>
      <c r="AD1108" t="s">
        <v>2751</v>
      </c>
      <c r="AE1108" t="s">
        <v>2752</v>
      </c>
    </row>
    <row r="1109" spans="1:31" x14ac:dyDescent="0.2">
      <c r="A1109" t="s">
        <v>31</v>
      </c>
      <c r="B1109">
        <v>2025</v>
      </c>
      <c r="C1109">
        <v>13</v>
      </c>
      <c r="D1109" s="1">
        <v>45748</v>
      </c>
      <c r="E1109" t="s">
        <v>2383</v>
      </c>
      <c r="F1109" t="s">
        <v>2384</v>
      </c>
      <c r="G1109" t="s">
        <v>2213</v>
      </c>
      <c r="H1109" t="s">
        <v>2080</v>
      </c>
      <c r="I1109" t="s">
        <v>2080</v>
      </c>
      <c r="J1109" t="s">
        <v>37</v>
      </c>
      <c r="K1109">
        <v>171</v>
      </c>
      <c r="L1109">
        <v>7</v>
      </c>
      <c r="M1109">
        <v>177</v>
      </c>
      <c r="N1109">
        <v>2</v>
      </c>
      <c r="O1109" t="s">
        <v>2080</v>
      </c>
      <c r="P1109" t="s">
        <v>38</v>
      </c>
      <c r="Q1109">
        <v>0</v>
      </c>
      <c r="R1109">
        <v>8</v>
      </c>
      <c r="S1109" t="s">
        <v>2525</v>
      </c>
      <c r="T1109" t="s">
        <v>1772</v>
      </c>
      <c r="U1109" t="s">
        <v>2375</v>
      </c>
      <c r="V1109" t="s">
        <v>2233</v>
      </c>
      <c r="W1109" t="s">
        <v>455</v>
      </c>
      <c r="X1109" t="s">
        <v>2722</v>
      </c>
      <c r="Y1109" t="s">
        <v>45</v>
      </c>
      <c r="Z1109">
        <v>20</v>
      </c>
      <c r="AA1109">
        <v>6</v>
      </c>
      <c r="AB1109" t="s">
        <v>46</v>
      </c>
      <c r="AC1109" t="s">
        <v>47</v>
      </c>
      <c r="AD1109" t="s">
        <v>2753</v>
      </c>
      <c r="AE1109" t="s">
        <v>2754</v>
      </c>
    </row>
    <row r="1110" spans="1:31" x14ac:dyDescent="0.2">
      <c r="A1110" t="s">
        <v>31</v>
      </c>
      <c r="B1110">
        <v>2025</v>
      </c>
      <c r="C1110">
        <v>14</v>
      </c>
      <c r="D1110" s="1">
        <v>45749</v>
      </c>
      <c r="E1110" t="s">
        <v>1558</v>
      </c>
      <c r="F1110" t="s">
        <v>2393</v>
      </c>
      <c r="G1110" t="s">
        <v>2562</v>
      </c>
      <c r="H1110" t="s">
        <v>2214</v>
      </c>
      <c r="I1110" t="s">
        <v>2214</v>
      </c>
      <c r="J1110" t="s">
        <v>37</v>
      </c>
      <c r="K1110">
        <v>169</v>
      </c>
      <c r="L1110">
        <v>8</v>
      </c>
      <c r="M1110">
        <v>170</v>
      </c>
      <c r="N1110">
        <v>2</v>
      </c>
      <c r="O1110" t="s">
        <v>2214</v>
      </c>
      <c r="P1110" t="s">
        <v>38</v>
      </c>
      <c r="Q1110">
        <v>0</v>
      </c>
      <c r="R1110">
        <v>8</v>
      </c>
      <c r="S1110" t="s">
        <v>1661</v>
      </c>
      <c r="T1110" t="s">
        <v>1553</v>
      </c>
      <c r="U1110" t="s">
        <v>2390</v>
      </c>
      <c r="V1110" t="s">
        <v>1210</v>
      </c>
      <c r="W1110" t="s">
        <v>939</v>
      </c>
      <c r="X1110" t="s">
        <v>2732</v>
      </c>
      <c r="Y1110" t="s">
        <v>45</v>
      </c>
      <c r="Z1110">
        <v>20</v>
      </c>
      <c r="AA1110">
        <v>6</v>
      </c>
      <c r="AB1110" t="s">
        <v>46</v>
      </c>
      <c r="AC1110" t="s">
        <v>47</v>
      </c>
      <c r="AD1110" t="s">
        <v>2755</v>
      </c>
      <c r="AE1110" t="s">
        <v>2756</v>
      </c>
    </row>
    <row r="1111" spans="1:31" x14ac:dyDescent="0.2">
      <c r="A1111" t="s">
        <v>31</v>
      </c>
      <c r="B1111">
        <v>2025</v>
      </c>
      <c r="C1111">
        <v>15</v>
      </c>
      <c r="D1111" s="1">
        <v>45750</v>
      </c>
      <c r="E1111" t="s">
        <v>75</v>
      </c>
      <c r="F1111" t="s">
        <v>2368</v>
      </c>
      <c r="G1111" t="s">
        <v>36</v>
      </c>
      <c r="H1111" t="s">
        <v>968</v>
      </c>
      <c r="I1111" t="s">
        <v>968</v>
      </c>
      <c r="J1111" t="s">
        <v>37</v>
      </c>
      <c r="K1111">
        <v>200</v>
      </c>
      <c r="L1111">
        <v>6</v>
      </c>
      <c r="M1111">
        <v>120</v>
      </c>
      <c r="N1111">
        <v>10</v>
      </c>
      <c r="O1111" t="s">
        <v>36</v>
      </c>
      <c r="P1111" t="s">
        <v>38</v>
      </c>
      <c r="Q1111">
        <v>80</v>
      </c>
      <c r="R1111">
        <v>0</v>
      </c>
      <c r="S1111" t="s">
        <v>2757</v>
      </c>
      <c r="T1111" t="s">
        <v>1965</v>
      </c>
      <c r="U1111" t="s">
        <v>2725</v>
      </c>
      <c r="V1111" t="s">
        <v>2228</v>
      </c>
      <c r="W1111" t="s">
        <v>1193</v>
      </c>
      <c r="X1111" t="s">
        <v>2636</v>
      </c>
      <c r="Y1111" t="s">
        <v>45</v>
      </c>
      <c r="Z1111">
        <v>20</v>
      </c>
      <c r="AA1111">
        <v>6</v>
      </c>
      <c r="AB1111" t="s">
        <v>46</v>
      </c>
      <c r="AC1111" t="s">
        <v>47</v>
      </c>
      <c r="AD1111" t="s">
        <v>2758</v>
      </c>
      <c r="AE1111" t="s">
        <v>2759</v>
      </c>
    </row>
    <row r="1112" spans="1:31" x14ac:dyDescent="0.2">
      <c r="A1112" t="s">
        <v>31</v>
      </c>
      <c r="B1112">
        <v>2025</v>
      </c>
      <c r="C1112">
        <v>16</v>
      </c>
      <c r="D1112" s="1">
        <v>45751</v>
      </c>
      <c r="E1112" t="s">
        <v>2383</v>
      </c>
      <c r="F1112" t="s">
        <v>2384</v>
      </c>
      <c r="G1112" t="s">
        <v>2213</v>
      </c>
      <c r="H1112" t="s">
        <v>87</v>
      </c>
      <c r="I1112" t="s">
        <v>87</v>
      </c>
      <c r="J1112" t="s">
        <v>37</v>
      </c>
      <c r="K1112">
        <v>203</v>
      </c>
      <c r="L1112">
        <v>8</v>
      </c>
      <c r="M1112">
        <v>191</v>
      </c>
      <c r="N1112">
        <v>5</v>
      </c>
      <c r="O1112" t="s">
        <v>2213</v>
      </c>
      <c r="P1112" t="s">
        <v>38</v>
      </c>
      <c r="Q1112">
        <v>12</v>
      </c>
      <c r="R1112">
        <v>0</v>
      </c>
      <c r="S1112" t="s">
        <v>2760</v>
      </c>
      <c r="T1112" t="s">
        <v>40</v>
      </c>
      <c r="U1112" t="s">
        <v>989</v>
      </c>
      <c r="V1112" t="s">
        <v>2219</v>
      </c>
      <c r="W1112" t="s">
        <v>463</v>
      </c>
      <c r="X1112" t="s">
        <v>1728</v>
      </c>
      <c r="Y1112" t="s">
        <v>45</v>
      </c>
      <c r="Z1112">
        <v>20</v>
      </c>
      <c r="AA1112">
        <v>6</v>
      </c>
      <c r="AB1112" t="s">
        <v>46</v>
      </c>
      <c r="AC1112" t="s">
        <v>47</v>
      </c>
      <c r="AD1112" t="s">
        <v>2761</v>
      </c>
      <c r="AE1112" t="s">
        <v>2762</v>
      </c>
    </row>
    <row r="1113" spans="1:31" x14ac:dyDescent="0.2">
      <c r="A1113" t="s">
        <v>31</v>
      </c>
      <c r="B1113">
        <v>2025</v>
      </c>
      <c r="C1113">
        <v>17</v>
      </c>
      <c r="D1113" s="1">
        <v>45752</v>
      </c>
      <c r="E1113" t="s">
        <v>108</v>
      </c>
      <c r="F1113" t="s">
        <v>2072</v>
      </c>
      <c r="G1113" t="s">
        <v>1820</v>
      </c>
      <c r="H1113" t="s">
        <v>53</v>
      </c>
      <c r="I1113" t="s">
        <v>1820</v>
      </c>
      <c r="J1113" t="s">
        <v>54</v>
      </c>
      <c r="K1113">
        <v>183</v>
      </c>
      <c r="L1113">
        <v>6</v>
      </c>
      <c r="M1113">
        <v>158</v>
      </c>
      <c r="N1113">
        <v>5</v>
      </c>
      <c r="O1113" t="s">
        <v>1820</v>
      </c>
      <c r="P1113" t="s">
        <v>38</v>
      </c>
      <c r="Q1113">
        <v>25</v>
      </c>
      <c r="R1113">
        <v>0</v>
      </c>
      <c r="S1113" t="s">
        <v>1684</v>
      </c>
      <c r="T1113" t="s">
        <v>1772</v>
      </c>
      <c r="U1113" t="s">
        <v>2375</v>
      </c>
      <c r="V1113" t="s">
        <v>2479</v>
      </c>
      <c r="W1113" t="s">
        <v>2233</v>
      </c>
      <c r="X1113" t="s">
        <v>2722</v>
      </c>
      <c r="Y1113" t="s">
        <v>45</v>
      </c>
      <c r="Z1113">
        <v>20</v>
      </c>
      <c r="AA1113">
        <v>6</v>
      </c>
      <c r="AB1113" t="s">
        <v>46</v>
      </c>
      <c r="AC1113" t="s">
        <v>47</v>
      </c>
      <c r="AD1113" t="s">
        <v>2763</v>
      </c>
      <c r="AE1113" t="s">
        <v>2764</v>
      </c>
    </row>
    <row r="1114" spans="1:31" x14ac:dyDescent="0.2">
      <c r="A1114" t="s">
        <v>31</v>
      </c>
      <c r="B1114">
        <v>2025</v>
      </c>
      <c r="C1114">
        <v>18</v>
      </c>
      <c r="D1114" s="1">
        <v>45752</v>
      </c>
      <c r="E1114" t="s">
        <v>2565</v>
      </c>
      <c r="F1114" t="s">
        <v>2566</v>
      </c>
      <c r="G1114" t="s">
        <v>66</v>
      </c>
      <c r="H1114" t="s">
        <v>2080</v>
      </c>
      <c r="I1114" t="s">
        <v>2080</v>
      </c>
      <c r="J1114" t="s">
        <v>37</v>
      </c>
      <c r="K1114">
        <v>205</v>
      </c>
      <c r="L1114">
        <v>4</v>
      </c>
      <c r="M1114">
        <v>155</v>
      </c>
      <c r="N1114">
        <v>9</v>
      </c>
      <c r="O1114" t="s">
        <v>66</v>
      </c>
      <c r="P1114" t="s">
        <v>38</v>
      </c>
      <c r="Q1114">
        <v>50</v>
      </c>
      <c r="R1114">
        <v>0</v>
      </c>
      <c r="S1114" t="s">
        <v>1727</v>
      </c>
      <c r="T1114" t="s">
        <v>1553</v>
      </c>
      <c r="U1114" t="s">
        <v>2642</v>
      </c>
      <c r="V1114" t="s">
        <v>1210</v>
      </c>
      <c r="W1114" t="s">
        <v>939</v>
      </c>
      <c r="X1114" t="s">
        <v>2732</v>
      </c>
      <c r="Y1114" t="s">
        <v>45</v>
      </c>
      <c r="Z1114">
        <v>20</v>
      </c>
      <c r="AA1114">
        <v>6</v>
      </c>
      <c r="AB1114" t="s">
        <v>46</v>
      </c>
      <c r="AC1114" t="s">
        <v>47</v>
      </c>
      <c r="AD1114" t="s">
        <v>2765</v>
      </c>
      <c r="AE1114" t="s">
        <v>2766</v>
      </c>
    </row>
    <row r="1115" spans="1:31" x14ac:dyDescent="0.2">
      <c r="A1115" t="s">
        <v>31</v>
      </c>
      <c r="B1115">
        <v>2025</v>
      </c>
      <c r="C1115">
        <v>19</v>
      </c>
      <c r="D1115" s="1">
        <v>45753</v>
      </c>
      <c r="E1115" t="s">
        <v>101</v>
      </c>
      <c r="F1115" t="s">
        <v>2389</v>
      </c>
      <c r="G1115" t="s">
        <v>968</v>
      </c>
      <c r="H1115" t="s">
        <v>2214</v>
      </c>
      <c r="I1115" t="s">
        <v>2214</v>
      </c>
      <c r="J1115" t="s">
        <v>37</v>
      </c>
      <c r="K1115">
        <v>152</v>
      </c>
      <c r="L1115">
        <v>8</v>
      </c>
      <c r="M1115">
        <v>153</v>
      </c>
      <c r="N1115">
        <v>3</v>
      </c>
      <c r="O1115" t="s">
        <v>2214</v>
      </c>
      <c r="P1115" t="s">
        <v>38</v>
      </c>
      <c r="Q1115">
        <v>0</v>
      </c>
      <c r="R1115">
        <v>7</v>
      </c>
      <c r="S1115" t="s">
        <v>1661</v>
      </c>
      <c r="T1115" t="s">
        <v>40</v>
      </c>
      <c r="U1115" t="s">
        <v>463</v>
      </c>
      <c r="V1115" t="s">
        <v>2219</v>
      </c>
      <c r="W1115" t="s">
        <v>989</v>
      </c>
      <c r="X1115" t="s">
        <v>1728</v>
      </c>
      <c r="Y1115" t="s">
        <v>45</v>
      </c>
      <c r="Z1115">
        <v>20</v>
      </c>
      <c r="AA1115">
        <v>6</v>
      </c>
      <c r="AB1115" t="s">
        <v>46</v>
      </c>
      <c r="AC1115" t="s">
        <v>47</v>
      </c>
      <c r="AD1115" t="s">
        <v>2767</v>
      </c>
      <c r="AE1115" t="s">
        <v>2768</v>
      </c>
    </row>
    <row r="1116" spans="1:31" x14ac:dyDescent="0.2">
      <c r="A1116" t="s">
        <v>31</v>
      </c>
      <c r="B1116">
        <v>2025</v>
      </c>
      <c r="C1116">
        <v>20</v>
      </c>
      <c r="D1116" s="1">
        <v>45754</v>
      </c>
      <c r="E1116" t="s">
        <v>85</v>
      </c>
      <c r="F1116" t="s">
        <v>2075</v>
      </c>
      <c r="G1116" t="s">
        <v>2562</v>
      </c>
      <c r="H1116" t="s">
        <v>87</v>
      </c>
      <c r="I1116" t="s">
        <v>87</v>
      </c>
      <c r="J1116" t="s">
        <v>37</v>
      </c>
      <c r="K1116">
        <v>221</v>
      </c>
      <c r="L1116">
        <v>5</v>
      </c>
      <c r="M1116">
        <v>209</v>
      </c>
      <c r="N1116">
        <v>9</v>
      </c>
      <c r="O1116" t="s">
        <v>2562</v>
      </c>
      <c r="P1116" t="s">
        <v>38</v>
      </c>
      <c r="Q1116">
        <v>12</v>
      </c>
      <c r="R1116">
        <v>0</v>
      </c>
      <c r="S1116" t="s">
        <v>2370</v>
      </c>
      <c r="T1116" t="s">
        <v>1772</v>
      </c>
      <c r="U1116" t="s">
        <v>2479</v>
      </c>
      <c r="V1116" t="s">
        <v>2233</v>
      </c>
      <c r="W1116" t="s">
        <v>455</v>
      </c>
      <c r="X1116" t="s">
        <v>2722</v>
      </c>
      <c r="Y1116" t="s">
        <v>45</v>
      </c>
      <c r="Z1116">
        <v>20</v>
      </c>
      <c r="AA1116">
        <v>6</v>
      </c>
      <c r="AB1116" t="s">
        <v>46</v>
      </c>
      <c r="AC1116" t="s">
        <v>47</v>
      </c>
      <c r="AD1116" t="s">
        <v>2769</v>
      </c>
      <c r="AE1116" t="s">
        <v>2770</v>
      </c>
    </row>
    <row r="1117" spans="1:31" x14ac:dyDescent="0.2">
      <c r="A1117" t="s">
        <v>31</v>
      </c>
      <c r="B1117">
        <v>2025</v>
      </c>
      <c r="C1117">
        <v>21</v>
      </c>
      <c r="D1117" s="1">
        <v>45755</v>
      </c>
      <c r="E1117" t="s">
        <v>75</v>
      </c>
      <c r="F1117" t="s">
        <v>2368</v>
      </c>
      <c r="G1117" t="s">
        <v>2213</v>
      </c>
      <c r="H1117" t="s">
        <v>36</v>
      </c>
      <c r="I1117" t="s">
        <v>36</v>
      </c>
      <c r="J1117" t="s">
        <v>37</v>
      </c>
      <c r="K1117">
        <v>238</v>
      </c>
      <c r="L1117">
        <v>3</v>
      </c>
      <c r="M1117">
        <v>234</v>
      </c>
      <c r="N1117">
        <v>7</v>
      </c>
      <c r="O1117" t="s">
        <v>2213</v>
      </c>
      <c r="P1117" t="s">
        <v>38</v>
      </c>
      <c r="Q1117">
        <v>4</v>
      </c>
      <c r="R1117">
        <v>0</v>
      </c>
      <c r="S1117" t="s">
        <v>2418</v>
      </c>
      <c r="T1117" t="s">
        <v>1965</v>
      </c>
      <c r="U1117" t="s">
        <v>2725</v>
      </c>
      <c r="V1117" t="s">
        <v>2228</v>
      </c>
      <c r="W1117" t="s">
        <v>1193</v>
      </c>
      <c r="X1117" t="s">
        <v>2771</v>
      </c>
      <c r="Y1117" t="s">
        <v>45</v>
      </c>
      <c r="Z1117">
        <v>20</v>
      </c>
      <c r="AA1117">
        <v>6</v>
      </c>
      <c r="AB1117" t="s">
        <v>46</v>
      </c>
      <c r="AC1117" t="s">
        <v>47</v>
      </c>
      <c r="AD1117" t="s">
        <v>2772</v>
      </c>
      <c r="AE1117" t="s">
        <v>2773</v>
      </c>
    </row>
    <row r="1118" spans="1:31" x14ac:dyDescent="0.2">
      <c r="A1118" t="s">
        <v>31</v>
      </c>
      <c r="B1118">
        <v>2025</v>
      </c>
      <c r="C1118">
        <v>22</v>
      </c>
      <c r="D1118" s="1">
        <v>45755</v>
      </c>
      <c r="E1118" t="s">
        <v>2565</v>
      </c>
      <c r="F1118" t="s">
        <v>2566</v>
      </c>
      <c r="G1118" t="s">
        <v>2080</v>
      </c>
      <c r="H1118" t="s">
        <v>53</v>
      </c>
      <c r="I1118" t="s">
        <v>2080</v>
      </c>
      <c r="J1118" t="s">
        <v>54</v>
      </c>
      <c r="K1118">
        <v>219</v>
      </c>
      <c r="L1118">
        <v>6</v>
      </c>
      <c r="M1118">
        <v>201</v>
      </c>
      <c r="N1118">
        <v>5</v>
      </c>
      <c r="O1118" t="s">
        <v>2080</v>
      </c>
      <c r="P1118" t="s">
        <v>38</v>
      </c>
      <c r="Q1118">
        <v>18</v>
      </c>
      <c r="R1118">
        <v>0</v>
      </c>
      <c r="S1118" t="s">
        <v>2774</v>
      </c>
      <c r="T1118" t="s">
        <v>1553</v>
      </c>
      <c r="U1118" t="s">
        <v>2390</v>
      </c>
      <c r="V1118" t="s">
        <v>1210</v>
      </c>
      <c r="W1118" t="s">
        <v>939</v>
      </c>
      <c r="X1118" t="s">
        <v>2732</v>
      </c>
      <c r="Y1118" t="s">
        <v>45</v>
      </c>
      <c r="Z1118">
        <v>20</v>
      </c>
      <c r="AA1118">
        <v>6</v>
      </c>
      <c r="AB1118" t="s">
        <v>46</v>
      </c>
      <c r="AC1118" t="s">
        <v>47</v>
      </c>
      <c r="AD1118" t="s">
        <v>2775</v>
      </c>
      <c r="AE1118" t="s">
        <v>2776</v>
      </c>
    </row>
    <row r="1119" spans="1:31" x14ac:dyDescent="0.2">
      <c r="A1119" t="s">
        <v>31</v>
      </c>
      <c r="B1119">
        <v>2025</v>
      </c>
      <c r="C1119">
        <v>23</v>
      </c>
      <c r="D1119" s="1">
        <v>45756</v>
      </c>
      <c r="E1119" t="s">
        <v>458</v>
      </c>
      <c r="F1119" t="s">
        <v>2115</v>
      </c>
      <c r="G1119" t="s">
        <v>2214</v>
      </c>
      <c r="H1119" t="s">
        <v>66</v>
      </c>
      <c r="I1119" t="s">
        <v>66</v>
      </c>
      <c r="J1119" t="s">
        <v>37</v>
      </c>
      <c r="K1119">
        <v>217</v>
      </c>
      <c r="L1119">
        <v>6</v>
      </c>
      <c r="M1119">
        <v>159</v>
      </c>
      <c r="N1119">
        <v>10</v>
      </c>
      <c r="O1119" t="s">
        <v>2214</v>
      </c>
      <c r="P1119" t="s">
        <v>38</v>
      </c>
      <c r="Q1119">
        <v>58</v>
      </c>
      <c r="R1119">
        <v>0</v>
      </c>
      <c r="S1119" t="s">
        <v>2398</v>
      </c>
      <c r="T1119" t="s">
        <v>1965</v>
      </c>
      <c r="U1119" t="s">
        <v>2228</v>
      </c>
      <c r="V1119" t="s">
        <v>1193</v>
      </c>
      <c r="W1119" t="s">
        <v>2725</v>
      </c>
      <c r="X1119" t="s">
        <v>2771</v>
      </c>
      <c r="Y1119" t="s">
        <v>45</v>
      </c>
      <c r="Z1119">
        <v>20</v>
      </c>
      <c r="AA1119">
        <v>6</v>
      </c>
      <c r="AB1119" t="s">
        <v>46</v>
      </c>
      <c r="AC1119" t="s">
        <v>47</v>
      </c>
      <c r="AD1119" t="s">
        <v>2777</v>
      </c>
      <c r="AE1119" t="s">
        <v>2778</v>
      </c>
    </row>
    <row r="1120" spans="1:31" x14ac:dyDescent="0.2">
      <c r="A1120" t="s">
        <v>31</v>
      </c>
      <c r="B1120">
        <v>2025</v>
      </c>
      <c r="C1120">
        <v>24</v>
      </c>
      <c r="D1120" s="1">
        <v>45757</v>
      </c>
      <c r="E1120" t="s">
        <v>1558</v>
      </c>
      <c r="F1120" t="s">
        <v>2393</v>
      </c>
      <c r="G1120" t="s">
        <v>2562</v>
      </c>
      <c r="H1120" t="s">
        <v>1820</v>
      </c>
      <c r="I1120" t="s">
        <v>1820</v>
      </c>
      <c r="J1120" t="s">
        <v>37</v>
      </c>
      <c r="K1120">
        <v>163</v>
      </c>
      <c r="L1120">
        <v>7</v>
      </c>
      <c r="M1120">
        <v>169</v>
      </c>
      <c r="N1120">
        <v>4</v>
      </c>
      <c r="O1120" t="s">
        <v>1820</v>
      </c>
      <c r="P1120" t="s">
        <v>38</v>
      </c>
      <c r="Q1120">
        <v>0</v>
      </c>
      <c r="R1120">
        <v>6</v>
      </c>
      <c r="S1120" t="s">
        <v>1684</v>
      </c>
      <c r="T1120" t="s">
        <v>40</v>
      </c>
      <c r="U1120" t="s">
        <v>463</v>
      </c>
      <c r="V1120" t="s">
        <v>2219</v>
      </c>
      <c r="W1120" t="s">
        <v>989</v>
      </c>
      <c r="X1120" t="s">
        <v>1728</v>
      </c>
      <c r="Y1120" t="s">
        <v>45</v>
      </c>
      <c r="Z1120">
        <v>20</v>
      </c>
      <c r="AA1120">
        <v>6</v>
      </c>
      <c r="AB1120" t="s">
        <v>46</v>
      </c>
      <c r="AC1120" t="s">
        <v>47</v>
      </c>
      <c r="AD1120" t="s">
        <v>2779</v>
      </c>
      <c r="AE1120" t="s">
        <v>2780</v>
      </c>
    </row>
    <row r="1121" spans="1:31" x14ac:dyDescent="0.2">
      <c r="A1121" t="s">
        <v>31</v>
      </c>
      <c r="B1121">
        <v>2025</v>
      </c>
      <c r="C1121">
        <v>25</v>
      </c>
      <c r="D1121" s="1">
        <v>45758</v>
      </c>
      <c r="E1121" t="s">
        <v>108</v>
      </c>
      <c r="F1121" t="s">
        <v>2072</v>
      </c>
      <c r="G1121" t="s">
        <v>53</v>
      </c>
      <c r="H1121" t="s">
        <v>36</v>
      </c>
      <c r="I1121" t="s">
        <v>36</v>
      </c>
      <c r="J1121" t="s">
        <v>37</v>
      </c>
      <c r="K1121">
        <v>103</v>
      </c>
      <c r="L1121">
        <v>9</v>
      </c>
      <c r="M1121">
        <v>107</v>
      </c>
      <c r="N1121">
        <v>2</v>
      </c>
      <c r="O1121" t="s">
        <v>36</v>
      </c>
      <c r="P1121" t="s">
        <v>38</v>
      </c>
      <c r="Q1121">
        <v>0</v>
      </c>
      <c r="R1121">
        <v>8</v>
      </c>
      <c r="S1121" t="s">
        <v>835</v>
      </c>
      <c r="T1121" t="s">
        <v>1772</v>
      </c>
      <c r="U1121" t="s">
        <v>1283</v>
      </c>
      <c r="V1121" t="s">
        <v>2479</v>
      </c>
      <c r="W1121" t="s">
        <v>2233</v>
      </c>
      <c r="X1121" t="s">
        <v>2722</v>
      </c>
      <c r="Y1121" t="s">
        <v>45</v>
      </c>
      <c r="Z1121">
        <v>20</v>
      </c>
      <c r="AA1121">
        <v>6</v>
      </c>
      <c r="AB1121" t="s">
        <v>46</v>
      </c>
      <c r="AC1121" t="s">
        <v>47</v>
      </c>
      <c r="AD1121" t="s">
        <v>2781</v>
      </c>
      <c r="AE1121" t="s">
        <v>2782</v>
      </c>
    </row>
    <row r="1122" spans="1:31" x14ac:dyDescent="0.2">
      <c r="A1122" t="s">
        <v>31</v>
      </c>
      <c r="B1122">
        <v>2025</v>
      </c>
      <c r="C1122">
        <v>26</v>
      </c>
      <c r="D1122" s="1">
        <v>45759</v>
      </c>
      <c r="E1122" t="s">
        <v>2383</v>
      </c>
      <c r="F1122" t="s">
        <v>2384</v>
      </c>
      <c r="G1122" t="s">
        <v>2214</v>
      </c>
      <c r="H1122" t="s">
        <v>2213</v>
      </c>
      <c r="I1122" t="s">
        <v>2213</v>
      </c>
      <c r="J1122" t="s">
        <v>37</v>
      </c>
      <c r="K1122">
        <v>180</v>
      </c>
      <c r="L1122">
        <v>6</v>
      </c>
      <c r="M1122">
        <v>186</v>
      </c>
      <c r="N1122">
        <v>4</v>
      </c>
      <c r="O1122" t="s">
        <v>2213</v>
      </c>
      <c r="P1122" t="s">
        <v>38</v>
      </c>
      <c r="Q1122">
        <v>0</v>
      </c>
      <c r="R1122">
        <v>6</v>
      </c>
      <c r="S1122" t="s">
        <v>2783</v>
      </c>
      <c r="T1122" t="s">
        <v>1553</v>
      </c>
      <c r="U1122" t="s">
        <v>2642</v>
      </c>
      <c r="V1122" t="s">
        <v>1210</v>
      </c>
      <c r="W1122" t="s">
        <v>2143</v>
      </c>
      <c r="X1122" t="s">
        <v>2732</v>
      </c>
      <c r="Y1122" t="s">
        <v>45</v>
      </c>
      <c r="Z1122">
        <v>20</v>
      </c>
      <c r="AA1122">
        <v>6</v>
      </c>
      <c r="AB1122" t="s">
        <v>46</v>
      </c>
      <c r="AC1122" t="s">
        <v>47</v>
      </c>
      <c r="AD1122" t="s">
        <v>2784</v>
      </c>
      <c r="AE1122" t="s">
        <v>2785</v>
      </c>
    </row>
    <row r="1123" spans="1:31" x14ac:dyDescent="0.2">
      <c r="A1123" t="s">
        <v>31</v>
      </c>
      <c r="B1123">
        <v>2025</v>
      </c>
      <c r="C1123">
        <v>27</v>
      </c>
      <c r="D1123" s="1">
        <v>45759</v>
      </c>
      <c r="E1123" t="s">
        <v>101</v>
      </c>
      <c r="F1123" t="s">
        <v>2389</v>
      </c>
      <c r="G1123" t="s">
        <v>2080</v>
      </c>
      <c r="H1123" t="s">
        <v>968</v>
      </c>
      <c r="I1123" t="s">
        <v>2080</v>
      </c>
      <c r="J1123" t="s">
        <v>54</v>
      </c>
      <c r="K1123">
        <v>245</v>
      </c>
      <c r="L1123">
        <v>6</v>
      </c>
      <c r="M1123">
        <v>247</v>
      </c>
      <c r="N1123">
        <v>2</v>
      </c>
      <c r="O1123" t="s">
        <v>968</v>
      </c>
      <c r="P1123" t="s">
        <v>38</v>
      </c>
      <c r="Q1123">
        <v>0</v>
      </c>
      <c r="R1123">
        <v>8</v>
      </c>
      <c r="S1123" t="s">
        <v>2249</v>
      </c>
      <c r="T1123" t="s">
        <v>1965</v>
      </c>
      <c r="U1123" t="s">
        <v>2228</v>
      </c>
      <c r="V1123" t="s">
        <v>2636</v>
      </c>
      <c r="W1123" t="s">
        <v>2725</v>
      </c>
      <c r="X1123" t="s">
        <v>2771</v>
      </c>
      <c r="Y1123" t="s">
        <v>45</v>
      </c>
      <c r="Z1123">
        <v>20</v>
      </c>
      <c r="AA1123">
        <v>6</v>
      </c>
      <c r="AB1123" t="s">
        <v>46</v>
      </c>
      <c r="AC1123" t="s">
        <v>47</v>
      </c>
      <c r="AD1123" t="s">
        <v>2786</v>
      </c>
      <c r="AE1123" t="s">
        <v>2787</v>
      </c>
    </row>
    <row r="1124" spans="1:31" x14ac:dyDescent="0.2">
      <c r="A1124" t="s">
        <v>31</v>
      </c>
      <c r="B1124">
        <v>2025</v>
      </c>
      <c r="C1124">
        <v>28</v>
      </c>
      <c r="D1124" s="1">
        <v>45760</v>
      </c>
      <c r="E1124" t="s">
        <v>95</v>
      </c>
      <c r="F1124" t="s">
        <v>2445</v>
      </c>
      <c r="G1124" t="s">
        <v>66</v>
      </c>
      <c r="H1124" t="s">
        <v>2562</v>
      </c>
      <c r="I1124" t="s">
        <v>2562</v>
      </c>
      <c r="J1124" t="s">
        <v>37</v>
      </c>
      <c r="K1124">
        <v>173</v>
      </c>
      <c r="L1124">
        <v>4</v>
      </c>
      <c r="M1124">
        <v>175</v>
      </c>
      <c r="N1124">
        <v>1</v>
      </c>
      <c r="O1124" t="s">
        <v>2562</v>
      </c>
      <c r="P1124" t="s">
        <v>38</v>
      </c>
      <c r="Q1124">
        <v>0</v>
      </c>
      <c r="R1124">
        <v>9</v>
      </c>
      <c r="S1124" t="s">
        <v>2501</v>
      </c>
      <c r="T1124" t="s">
        <v>40</v>
      </c>
      <c r="U1124" t="s">
        <v>989</v>
      </c>
      <c r="V1124" t="s">
        <v>2219</v>
      </c>
      <c r="W1124" t="s">
        <v>463</v>
      </c>
      <c r="X1124" t="s">
        <v>1728</v>
      </c>
      <c r="Y1124" t="s">
        <v>45</v>
      </c>
      <c r="Z1124">
        <v>20</v>
      </c>
      <c r="AA1124">
        <v>6</v>
      </c>
      <c r="AB1124" t="s">
        <v>46</v>
      </c>
      <c r="AC1124" t="s">
        <v>47</v>
      </c>
      <c r="AD1124" t="s">
        <v>2788</v>
      </c>
      <c r="AE1124" t="s">
        <v>2741</v>
      </c>
    </row>
    <row r="1125" spans="1:31" x14ac:dyDescent="0.2">
      <c r="A1125" t="s">
        <v>31</v>
      </c>
      <c r="B1125">
        <v>2025</v>
      </c>
      <c r="C1125">
        <v>29</v>
      </c>
      <c r="D1125" s="1">
        <v>45760</v>
      </c>
      <c r="E1125" t="s">
        <v>63</v>
      </c>
      <c r="F1125" t="s">
        <v>2120</v>
      </c>
      <c r="G1125" t="s">
        <v>87</v>
      </c>
      <c r="H1125" t="s">
        <v>1820</v>
      </c>
      <c r="I1125" t="s">
        <v>1820</v>
      </c>
      <c r="J1125" t="s">
        <v>37</v>
      </c>
      <c r="K1125">
        <v>205</v>
      </c>
      <c r="L1125">
        <v>5</v>
      </c>
      <c r="M1125">
        <v>193</v>
      </c>
      <c r="N1125">
        <v>10</v>
      </c>
      <c r="O1125" t="s">
        <v>87</v>
      </c>
      <c r="P1125" t="s">
        <v>38</v>
      </c>
      <c r="Q1125">
        <v>12</v>
      </c>
      <c r="R1125">
        <v>0</v>
      </c>
      <c r="S1125" t="s">
        <v>1675</v>
      </c>
      <c r="T1125" t="s">
        <v>1772</v>
      </c>
      <c r="U1125" t="s">
        <v>1283</v>
      </c>
      <c r="V1125" t="s">
        <v>2233</v>
      </c>
      <c r="W1125" t="s">
        <v>455</v>
      </c>
      <c r="X1125" t="s">
        <v>2722</v>
      </c>
      <c r="Y1125" t="s">
        <v>45</v>
      </c>
      <c r="Z1125">
        <v>20</v>
      </c>
      <c r="AA1125">
        <v>6</v>
      </c>
      <c r="AB1125" t="s">
        <v>46</v>
      </c>
      <c r="AC1125" t="s">
        <v>47</v>
      </c>
      <c r="AD1125" t="s">
        <v>2789</v>
      </c>
      <c r="AE1125" t="s">
        <v>2790</v>
      </c>
    </row>
    <row r="1126" spans="1:31" x14ac:dyDescent="0.2">
      <c r="A1126" t="s">
        <v>31</v>
      </c>
      <c r="B1126">
        <v>2025</v>
      </c>
      <c r="C1126">
        <v>30</v>
      </c>
      <c r="D1126" s="1">
        <v>45761</v>
      </c>
      <c r="E1126" t="s">
        <v>2383</v>
      </c>
      <c r="F1126" t="s">
        <v>2384</v>
      </c>
      <c r="G1126" t="s">
        <v>2213</v>
      </c>
      <c r="H1126" t="s">
        <v>53</v>
      </c>
      <c r="I1126" t="s">
        <v>53</v>
      </c>
      <c r="J1126" t="s">
        <v>37</v>
      </c>
      <c r="K1126">
        <v>166</v>
      </c>
      <c r="L1126">
        <v>7</v>
      </c>
      <c r="M1126">
        <v>168</v>
      </c>
      <c r="N1126">
        <v>5</v>
      </c>
      <c r="O1126" t="s">
        <v>53</v>
      </c>
      <c r="P1126" t="s">
        <v>38</v>
      </c>
      <c r="Q1126">
        <v>0</v>
      </c>
      <c r="R1126">
        <v>5</v>
      </c>
      <c r="S1126" t="s">
        <v>136</v>
      </c>
      <c r="T1126" t="s">
        <v>1553</v>
      </c>
      <c r="U1126" t="s">
        <v>1210</v>
      </c>
      <c r="V1126" t="s">
        <v>939</v>
      </c>
      <c r="W1126" t="s">
        <v>2143</v>
      </c>
      <c r="X1126" t="s">
        <v>2732</v>
      </c>
      <c r="Y1126" t="s">
        <v>45</v>
      </c>
      <c r="Z1126">
        <v>20</v>
      </c>
      <c r="AA1126">
        <v>6</v>
      </c>
      <c r="AB1126" t="s">
        <v>46</v>
      </c>
      <c r="AC1126" t="s">
        <v>47</v>
      </c>
      <c r="AD1126" t="s">
        <v>2791</v>
      </c>
      <c r="AE1126" t="s">
        <v>2792</v>
      </c>
    </row>
    <row r="1127" spans="1:31" x14ac:dyDescent="0.2">
      <c r="A1127" t="s">
        <v>31</v>
      </c>
      <c r="B1127">
        <v>2025</v>
      </c>
      <c r="C1127">
        <v>31</v>
      </c>
      <c r="D1127" s="1">
        <v>45762</v>
      </c>
      <c r="E1127" t="s">
        <v>2565</v>
      </c>
      <c r="F1127" t="s">
        <v>2566</v>
      </c>
      <c r="G1127" t="s">
        <v>2080</v>
      </c>
      <c r="H1127" t="s">
        <v>36</v>
      </c>
      <c r="I1127" t="s">
        <v>2080</v>
      </c>
      <c r="J1127" t="s">
        <v>54</v>
      </c>
      <c r="K1127">
        <v>111</v>
      </c>
      <c r="L1127">
        <v>10</v>
      </c>
      <c r="M1127">
        <v>95</v>
      </c>
      <c r="N1127">
        <v>10</v>
      </c>
      <c r="O1127" t="s">
        <v>2080</v>
      </c>
      <c r="P1127" t="s">
        <v>38</v>
      </c>
      <c r="Q1127">
        <v>16</v>
      </c>
      <c r="R1127">
        <v>0</v>
      </c>
      <c r="S1127" t="s">
        <v>1143</v>
      </c>
      <c r="T1127" t="s">
        <v>40</v>
      </c>
      <c r="U1127" t="s">
        <v>2466</v>
      </c>
      <c r="V1127" t="s">
        <v>2219</v>
      </c>
      <c r="W1127" t="s">
        <v>463</v>
      </c>
      <c r="X1127" t="s">
        <v>1728</v>
      </c>
      <c r="Y1127" t="s">
        <v>45</v>
      </c>
      <c r="Z1127">
        <v>20</v>
      </c>
      <c r="AA1127">
        <v>6</v>
      </c>
      <c r="AB1127" t="s">
        <v>46</v>
      </c>
      <c r="AC1127" t="s">
        <v>47</v>
      </c>
      <c r="AD1127" t="s">
        <v>2793</v>
      </c>
      <c r="AE1127" t="s">
        <v>2794</v>
      </c>
    </row>
    <row r="1128" spans="1:31" x14ac:dyDescent="0.2">
      <c r="A1128" t="s">
        <v>31</v>
      </c>
      <c r="B1128">
        <v>2025</v>
      </c>
      <c r="C1128">
        <v>32</v>
      </c>
      <c r="D1128" s="1">
        <v>45763</v>
      </c>
      <c r="E1128" t="s">
        <v>63</v>
      </c>
      <c r="F1128" t="s">
        <v>2120</v>
      </c>
      <c r="G1128" t="s">
        <v>1820</v>
      </c>
      <c r="H1128" t="s">
        <v>66</v>
      </c>
      <c r="I1128" t="s">
        <v>66</v>
      </c>
      <c r="J1128" t="s">
        <v>37</v>
      </c>
      <c r="K1128">
        <v>201</v>
      </c>
      <c r="L1128">
        <v>5</v>
      </c>
      <c r="M1128">
        <v>199</v>
      </c>
      <c r="N1128">
        <v>7</v>
      </c>
      <c r="O1128" t="s">
        <v>304</v>
      </c>
      <c r="P1128" t="s">
        <v>305</v>
      </c>
      <c r="Q1128">
        <v>0</v>
      </c>
      <c r="R1128">
        <v>0</v>
      </c>
      <c r="S1128" t="s">
        <v>1325</v>
      </c>
      <c r="T1128" t="s">
        <v>1965</v>
      </c>
      <c r="U1128" t="s">
        <v>2228</v>
      </c>
      <c r="V1128" t="s">
        <v>2636</v>
      </c>
      <c r="W1128" t="s">
        <v>1193</v>
      </c>
      <c r="X1128" t="s">
        <v>2771</v>
      </c>
      <c r="Y1128" t="s">
        <v>45</v>
      </c>
      <c r="Z1128">
        <v>20</v>
      </c>
      <c r="AA1128">
        <v>6</v>
      </c>
      <c r="AB1128" t="s">
        <v>46</v>
      </c>
      <c r="AC1128" t="s">
        <v>47</v>
      </c>
      <c r="AD1128" t="s">
        <v>2795</v>
      </c>
      <c r="AE1128" t="s">
        <v>2796</v>
      </c>
    </row>
    <row r="1129" spans="1:31" x14ac:dyDescent="0.2">
      <c r="A1129" t="s">
        <v>31</v>
      </c>
      <c r="B1129">
        <v>2025</v>
      </c>
      <c r="C1129">
        <v>33</v>
      </c>
      <c r="D1129" s="1">
        <v>45764</v>
      </c>
      <c r="E1129" t="s">
        <v>85</v>
      </c>
      <c r="F1129" t="s">
        <v>2075</v>
      </c>
      <c r="G1129" t="s">
        <v>968</v>
      </c>
      <c r="H1129" t="s">
        <v>87</v>
      </c>
      <c r="I1129" t="s">
        <v>87</v>
      </c>
      <c r="J1129" t="s">
        <v>37</v>
      </c>
      <c r="K1129">
        <v>162</v>
      </c>
      <c r="L1129">
        <v>5</v>
      </c>
      <c r="M1129">
        <v>166</v>
      </c>
      <c r="N1129">
        <v>6</v>
      </c>
      <c r="O1129" t="s">
        <v>87</v>
      </c>
      <c r="P1129" t="s">
        <v>38</v>
      </c>
      <c r="Q1129">
        <v>0</v>
      </c>
      <c r="R1129">
        <v>4</v>
      </c>
      <c r="S1129" t="s">
        <v>2665</v>
      </c>
      <c r="T1129" t="s">
        <v>1772</v>
      </c>
      <c r="U1129" t="s">
        <v>455</v>
      </c>
      <c r="V1129" t="s">
        <v>2233</v>
      </c>
      <c r="W1129" t="s">
        <v>1283</v>
      </c>
      <c r="X1129" t="s">
        <v>2479</v>
      </c>
      <c r="Y1129" t="s">
        <v>45</v>
      </c>
      <c r="Z1129">
        <v>20</v>
      </c>
      <c r="AA1129">
        <v>6</v>
      </c>
      <c r="AB1129" t="s">
        <v>46</v>
      </c>
      <c r="AC1129" t="s">
        <v>47</v>
      </c>
      <c r="AD1129" t="s">
        <v>2797</v>
      </c>
      <c r="AE1129" t="s">
        <v>2798</v>
      </c>
    </row>
    <row r="1130" spans="1:31" x14ac:dyDescent="0.2">
      <c r="A1130" t="s">
        <v>31</v>
      </c>
      <c r="B1130">
        <v>2025</v>
      </c>
      <c r="C1130">
        <v>34</v>
      </c>
      <c r="D1130" s="1">
        <v>45765</v>
      </c>
      <c r="E1130" t="s">
        <v>1558</v>
      </c>
      <c r="F1130" t="s">
        <v>2393</v>
      </c>
      <c r="G1130" t="s">
        <v>2562</v>
      </c>
      <c r="H1130" t="s">
        <v>2080</v>
      </c>
      <c r="I1130" t="s">
        <v>2080</v>
      </c>
      <c r="J1130" t="s">
        <v>37</v>
      </c>
      <c r="K1130">
        <v>95</v>
      </c>
      <c r="L1130">
        <v>9</v>
      </c>
      <c r="M1130">
        <v>98</v>
      </c>
      <c r="N1130">
        <v>5</v>
      </c>
      <c r="O1130" t="s">
        <v>2080</v>
      </c>
      <c r="P1130" t="s">
        <v>38</v>
      </c>
      <c r="Q1130">
        <v>0</v>
      </c>
      <c r="R1130">
        <v>5</v>
      </c>
      <c r="S1130" t="s">
        <v>2325</v>
      </c>
      <c r="T1130" t="s">
        <v>1553</v>
      </c>
      <c r="U1130" t="s">
        <v>1210</v>
      </c>
      <c r="V1130" t="s">
        <v>939</v>
      </c>
      <c r="W1130" t="s">
        <v>2143</v>
      </c>
      <c r="X1130" t="s">
        <v>2642</v>
      </c>
      <c r="Y1130" t="s">
        <v>45</v>
      </c>
      <c r="Z1130">
        <v>20</v>
      </c>
      <c r="AA1130">
        <v>6</v>
      </c>
      <c r="AB1130" t="s">
        <v>46</v>
      </c>
      <c r="AC1130" t="s">
        <v>47</v>
      </c>
      <c r="AD1130" t="s">
        <v>2799</v>
      </c>
      <c r="AE1130" t="s">
        <v>2800</v>
      </c>
    </row>
    <row r="1131" spans="1:31" x14ac:dyDescent="0.2">
      <c r="A1131" t="s">
        <v>31</v>
      </c>
      <c r="B1131">
        <v>2025</v>
      </c>
      <c r="C1131">
        <v>35</v>
      </c>
      <c r="D1131" s="1">
        <v>45766</v>
      </c>
      <c r="E1131" t="s">
        <v>458</v>
      </c>
      <c r="F1131" t="s">
        <v>2115</v>
      </c>
      <c r="G1131" t="s">
        <v>1820</v>
      </c>
      <c r="H1131" t="s">
        <v>2214</v>
      </c>
      <c r="I1131" t="s">
        <v>2214</v>
      </c>
      <c r="J1131" t="s">
        <v>37</v>
      </c>
      <c r="K1131">
        <v>203</v>
      </c>
      <c r="L1131">
        <v>8</v>
      </c>
      <c r="M1131">
        <v>204</v>
      </c>
      <c r="N1131">
        <v>3</v>
      </c>
      <c r="O1131" t="s">
        <v>2214</v>
      </c>
      <c r="P1131" t="s">
        <v>38</v>
      </c>
      <c r="Q1131">
        <v>0</v>
      </c>
      <c r="R1131">
        <v>7</v>
      </c>
      <c r="S1131" t="s">
        <v>1599</v>
      </c>
      <c r="T1131" t="s">
        <v>2425</v>
      </c>
      <c r="U1131" t="s">
        <v>2228</v>
      </c>
      <c r="V1131" t="s">
        <v>2636</v>
      </c>
      <c r="W1131" t="s">
        <v>2725</v>
      </c>
      <c r="X1131" t="s">
        <v>2771</v>
      </c>
      <c r="Y1131" t="s">
        <v>45</v>
      </c>
      <c r="Z1131">
        <v>20</v>
      </c>
      <c r="AA1131">
        <v>6</v>
      </c>
      <c r="AB1131" t="s">
        <v>46</v>
      </c>
      <c r="AC1131" t="s">
        <v>47</v>
      </c>
      <c r="AD1131" t="s">
        <v>2801</v>
      </c>
      <c r="AE1131" t="s">
        <v>2802</v>
      </c>
    </row>
    <row r="1132" spans="1:31" x14ac:dyDescent="0.2">
      <c r="A1132" t="s">
        <v>31</v>
      </c>
      <c r="B1132">
        <v>2025</v>
      </c>
      <c r="C1132">
        <v>36</v>
      </c>
      <c r="D1132" s="1">
        <v>45766</v>
      </c>
      <c r="E1132" t="s">
        <v>95</v>
      </c>
      <c r="F1132" t="s">
        <v>2445</v>
      </c>
      <c r="G1132" t="s">
        <v>2213</v>
      </c>
      <c r="H1132" t="s">
        <v>66</v>
      </c>
      <c r="I1132" t="s">
        <v>2213</v>
      </c>
      <c r="J1132" t="s">
        <v>54</v>
      </c>
      <c r="K1132">
        <v>180</v>
      </c>
      <c r="L1132">
        <v>5</v>
      </c>
      <c r="M1132">
        <v>178</v>
      </c>
      <c r="N1132">
        <v>5</v>
      </c>
      <c r="O1132" t="s">
        <v>2213</v>
      </c>
      <c r="P1132" t="s">
        <v>38</v>
      </c>
      <c r="Q1132">
        <v>2</v>
      </c>
      <c r="R1132">
        <v>0</v>
      </c>
      <c r="S1132" t="s">
        <v>2239</v>
      </c>
      <c r="T1132" t="s">
        <v>1772</v>
      </c>
      <c r="U1132" t="s">
        <v>455</v>
      </c>
      <c r="V1132" t="s">
        <v>2233</v>
      </c>
      <c r="W1132" t="s">
        <v>1283</v>
      </c>
      <c r="X1132" t="s">
        <v>2479</v>
      </c>
      <c r="Y1132" t="s">
        <v>45</v>
      </c>
      <c r="Z1132">
        <v>20</v>
      </c>
      <c r="AA1132">
        <v>6</v>
      </c>
      <c r="AB1132" t="s">
        <v>46</v>
      </c>
      <c r="AC1132" t="s">
        <v>47</v>
      </c>
      <c r="AD1132" t="s">
        <v>2803</v>
      </c>
      <c r="AE1132" t="s">
        <v>2804</v>
      </c>
    </row>
    <row r="1133" spans="1:31" x14ac:dyDescent="0.2">
      <c r="A1133" t="s">
        <v>31</v>
      </c>
      <c r="B1133">
        <v>2025</v>
      </c>
      <c r="C1133">
        <v>37</v>
      </c>
      <c r="D1133" s="1">
        <v>45767</v>
      </c>
      <c r="E1133" t="s">
        <v>2565</v>
      </c>
      <c r="F1133" t="s">
        <v>2566</v>
      </c>
      <c r="G1133" t="s">
        <v>2080</v>
      </c>
      <c r="H1133" t="s">
        <v>2562</v>
      </c>
      <c r="I1133" t="s">
        <v>2562</v>
      </c>
      <c r="J1133" t="s">
        <v>37</v>
      </c>
      <c r="K1133">
        <v>157</v>
      </c>
      <c r="L1133">
        <v>6</v>
      </c>
      <c r="M1133">
        <v>159</v>
      </c>
      <c r="N1133">
        <v>3</v>
      </c>
      <c r="O1133" t="s">
        <v>2562</v>
      </c>
      <c r="P1133" t="s">
        <v>38</v>
      </c>
      <c r="Q1133">
        <v>0</v>
      </c>
      <c r="R1133">
        <v>7</v>
      </c>
      <c r="S1133" t="s">
        <v>678</v>
      </c>
      <c r="T1133" t="s">
        <v>40</v>
      </c>
      <c r="U1133" t="s">
        <v>2805</v>
      </c>
      <c r="V1133" t="s">
        <v>2219</v>
      </c>
      <c r="W1133" t="s">
        <v>989</v>
      </c>
      <c r="X1133" t="s">
        <v>2466</v>
      </c>
      <c r="Y1133" t="s">
        <v>45</v>
      </c>
      <c r="Z1133">
        <v>20</v>
      </c>
      <c r="AA1133">
        <v>6</v>
      </c>
      <c r="AB1133" t="s">
        <v>46</v>
      </c>
      <c r="AC1133" t="s">
        <v>47</v>
      </c>
      <c r="AD1133" t="s">
        <v>2806</v>
      </c>
      <c r="AE1133" t="s">
        <v>2807</v>
      </c>
    </row>
    <row r="1134" spans="1:31" x14ac:dyDescent="0.2">
      <c r="A1134" t="s">
        <v>31</v>
      </c>
      <c r="B1134">
        <v>2025</v>
      </c>
      <c r="C1134">
        <v>38</v>
      </c>
      <c r="D1134" s="1">
        <v>45767</v>
      </c>
      <c r="E1134" t="s">
        <v>85</v>
      </c>
      <c r="F1134" t="s">
        <v>2075</v>
      </c>
      <c r="G1134" t="s">
        <v>53</v>
      </c>
      <c r="H1134" t="s">
        <v>87</v>
      </c>
      <c r="I1134" t="s">
        <v>87</v>
      </c>
      <c r="J1134" t="s">
        <v>37</v>
      </c>
      <c r="K1134">
        <v>176</v>
      </c>
      <c r="L1134">
        <v>5</v>
      </c>
      <c r="M1134">
        <v>177</v>
      </c>
      <c r="N1134">
        <v>1</v>
      </c>
      <c r="O1134" t="s">
        <v>87</v>
      </c>
      <c r="P1134" t="s">
        <v>38</v>
      </c>
      <c r="Q1134">
        <v>0</v>
      </c>
      <c r="R1134">
        <v>9</v>
      </c>
      <c r="S1134" t="s">
        <v>369</v>
      </c>
      <c r="T1134" t="s">
        <v>1553</v>
      </c>
      <c r="U1134" t="s">
        <v>2390</v>
      </c>
      <c r="V1134" t="s">
        <v>939</v>
      </c>
      <c r="W1134" t="s">
        <v>2143</v>
      </c>
      <c r="X1134" t="s">
        <v>2642</v>
      </c>
      <c r="Y1134" t="s">
        <v>45</v>
      </c>
      <c r="Z1134">
        <v>20</v>
      </c>
      <c r="AA1134">
        <v>6</v>
      </c>
      <c r="AB1134" t="s">
        <v>46</v>
      </c>
      <c r="AC1134" t="s">
        <v>47</v>
      </c>
      <c r="AD1134" t="s">
        <v>2808</v>
      </c>
      <c r="AE1134" t="s">
        <v>2809</v>
      </c>
    </row>
    <row r="1135" spans="1:31" x14ac:dyDescent="0.2">
      <c r="A1135" t="s">
        <v>31</v>
      </c>
      <c r="B1135">
        <v>2025</v>
      </c>
      <c r="C1135">
        <v>39</v>
      </c>
      <c r="D1135" s="1">
        <v>45768</v>
      </c>
      <c r="E1135" t="s">
        <v>75</v>
      </c>
      <c r="F1135" t="s">
        <v>2368</v>
      </c>
      <c r="G1135" t="s">
        <v>2214</v>
      </c>
      <c r="H1135" t="s">
        <v>36</v>
      </c>
      <c r="I1135" t="s">
        <v>36</v>
      </c>
      <c r="J1135" t="s">
        <v>37</v>
      </c>
      <c r="K1135">
        <v>198</v>
      </c>
      <c r="L1135">
        <v>3</v>
      </c>
      <c r="M1135">
        <v>159</v>
      </c>
      <c r="N1135">
        <v>8</v>
      </c>
      <c r="O1135" t="s">
        <v>2214</v>
      </c>
      <c r="P1135" t="s">
        <v>38</v>
      </c>
      <c r="Q1135">
        <v>39</v>
      </c>
      <c r="R1135">
        <v>0</v>
      </c>
      <c r="S1135" t="s">
        <v>1930</v>
      </c>
      <c r="T1135" t="s">
        <v>2425</v>
      </c>
      <c r="U1135" t="s">
        <v>2771</v>
      </c>
      <c r="V1135" t="s">
        <v>1193</v>
      </c>
      <c r="W1135" t="s">
        <v>2228</v>
      </c>
      <c r="X1135" t="s">
        <v>2810</v>
      </c>
      <c r="Y1135" t="s">
        <v>45</v>
      </c>
      <c r="Z1135">
        <v>20</v>
      </c>
      <c r="AA1135">
        <v>6</v>
      </c>
      <c r="AB1135" t="s">
        <v>46</v>
      </c>
      <c r="AC1135" t="s">
        <v>47</v>
      </c>
      <c r="AD1135" t="s">
        <v>2811</v>
      </c>
      <c r="AE1135" t="s">
        <v>2812</v>
      </c>
    </row>
    <row r="1136" spans="1:31" x14ac:dyDescent="0.2">
      <c r="A1136" t="s">
        <v>31</v>
      </c>
      <c r="B1136">
        <v>2025</v>
      </c>
      <c r="C1136">
        <v>40</v>
      </c>
      <c r="D1136" s="1">
        <v>45769</v>
      </c>
      <c r="E1136" t="s">
        <v>2383</v>
      </c>
      <c r="F1136" t="s">
        <v>2384</v>
      </c>
      <c r="G1136" t="s">
        <v>2213</v>
      </c>
      <c r="H1136" t="s">
        <v>1820</v>
      </c>
      <c r="I1136" t="s">
        <v>1820</v>
      </c>
      <c r="J1136" t="s">
        <v>37</v>
      </c>
      <c r="K1136">
        <v>159</v>
      </c>
      <c r="L1136">
        <v>6</v>
      </c>
      <c r="M1136">
        <v>161</v>
      </c>
      <c r="N1136">
        <v>2</v>
      </c>
      <c r="O1136" t="s">
        <v>1820</v>
      </c>
      <c r="P1136" t="s">
        <v>38</v>
      </c>
      <c r="Q1136">
        <v>0</v>
      </c>
      <c r="R1136">
        <v>8</v>
      </c>
      <c r="S1136" t="s">
        <v>2813</v>
      </c>
      <c r="T1136" t="s">
        <v>40</v>
      </c>
      <c r="U1136" t="s">
        <v>2805</v>
      </c>
      <c r="V1136" t="s">
        <v>2219</v>
      </c>
      <c r="W1136" t="s">
        <v>463</v>
      </c>
      <c r="X1136" t="s">
        <v>2466</v>
      </c>
      <c r="Y1136" t="s">
        <v>45</v>
      </c>
      <c r="Z1136">
        <v>20</v>
      </c>
      <c r="AA1136">
        <v>6</v>
      </c>
      <c r="AB1136" t="s">
        <v>46</v>
      </c>
      <c r="AC1136" t="s">
        <v>47</v>
      </c>
      <c r="AD1136" t="s">
        <v>2814</v>
      </c>
      <c r="AE1136" t="s">
        <v>2815</v>
      </c>
    </row>
    <row r="1137" spans="1:31" x14ac:dyDescent="0.2">
      <c r="A1137" t="s">
        <v>31</v>
      </c>
      <c r="B1137">
        <v>2025</v>
      </c>
      <c r="C1137">
        <v>41</v>
      </c>
      <c r="D1137" s="1">
        <v>45770</v>
      </c>
      <c r="E1137" t="s">
        <v>101</v>
      </c>
      <c r="F1137" t="s">
        <v>2389</v>
      </c>
      <c r="G1137" t="s">
        <v>968</v>
      </c>
      <c r="H1137" t="s">
        <v>87</v>
      </c>
      <c r="I1137" t="s">
        <v>87</v>
      </c>
      <c r="J1137" t="s">
        <v>37</v>
      </c>
      <c r="K1137">
        <v>143</v>
      </c>
      <c r="L1137">
        <v>8</v>
      </c>
      <c r="M1137">
        <v>146</v>
      </c>
      <c r="N1137">
        <v>3</v>
      </c>
      <c r="O1137" t="s">
        <v>87</v>
      </c>
      <c r="P1137" t="s">
        <v>38</v>
      </c>
      <c r="Q1137">
        <v>0</v>
      </c>
      <c r="R1137">
        <v>7</v>
      </c>
      <c r="S1137" t="s">
        <v>1335</v>
      </c>
      <c r="T1137" t="s">
        <v>2816</v>
      </c>
      <c r="U1137" t="s">
        <v>455</v>
      </c>
      <c r="V1137" t="s">
        <v>2233</v>
      </c>
      <c r="W1137" t="s">
        <v>1283</v>
      </c>
      <c r="X1137" t="s">
        <v>2375</v>
      </c>
      <c r="Y1137" t="s">
        <v>45</v>
      </c>
      <c r="Z1137">
        <v>20</v>
      </c>
      <c r="AA1137">
        <v>6</v>
      </c>
      <c r="AB1137" t="s">
        <v>46</v>
      </c>
      <c r="AC1137" t="s">
        <v>47</v>
      </c>
      <c r="AD1137" t="s">
        <v>2817</v>
      </c>
      <c r="AE1137" t="s">
        <v>2818</v>
      </c>
    </row>
    <row r="1138" spans="1:31" x14ac:dyDescent="0.2">
      <c r="A1138" t="s">
        <v>31</v>
      </c>
      <c r="B1138">
        <v>2025</v>
      </c>
      <c r="C1138">
        <v>42</v>
      </c>
      <c r="D1138" s="1">
        <v>45771</v>
      </c>
      <c r="E1138" t="s">
        <v>1558</v>
      </c>
      <c r="F1138" t="s">
        <v>2393</v>
      </c>
      <c r="G1138" t="s">
        <v>2562</v>
      </c>
      <c r="H1138" t="s">
        <v>66</v>
      </c>
      <c r="I1138" t="s">
        <v>66</v>
      </c>
      <c r="J1138" t="s">
        <v>37</v>
      </c>
      <c r="K1138">
        <v>205</v>
      </c>
      <c r="L1138">
        <v>5</v>
      </c>
      <c r="M1138">
        <v>194</v>
      </c>
      <c r="N1138">
        <v>9</v>
      </c>
      <c r="O1138" t="s">
        <v>2562</v>
      </c>
      <c r="P1138" t="s">
        <v>38</v>
      </c>
      <c r="Q1138">
        <v>11</v>
      </c>
      <c r="R1138">
        <v>0</v>
      </c>
      <c r="S1138" t="s">
        <v>2167</v>
      </c>
      <c r="T1138" t="s">
        <v>2425</v>
      </c>
      <c r="U1138" t="s">
        <v>2143</v>
      </c>
      <c r="V1138" t="s">
        <v>1210</v>
      </c>
      <c r="W1138" t="s">
        <v>939</v>
      </c>
      <c r="X1138" t="s">
        <v>2642</v>
      </c>
      <c r="Y1138" t="s">
        <v>45</v>
      </c>
      <c r="Z1138">
        <v>20</v>
      </c>
      <c r="AA1138">
        <v>6</v>
      </c>
      <c r="AB1138" t="s">
        <v>46</v>
      </c>
      <c r="AC1138" t="s">
        <v>47</v>
      </c>
      <c r="AD1138" t="s">
        <v>2819</v>
      </c>
      <c r="AE1138" t="s">
        <v>2820</v>
      </c>
    </row>
    <row r="1139" spans="1:31" x14ac:dyDescent="0.2">
      <c r="A1139" t="s">
        <v>31</v>
      </c>
      <c r="B1139">
        <v>2025</v>
      </c>
      <c r="C1139">
        <v>43</v>
      </c>
      <c r="D1139" s="1">
        <v>45772</v>
      </c>
      <c r="E1139" t="s">
        <v>108</v>
      </c>
      <c r="F1139" t="s">
        <v>2072</v>
      </c>
      <c r="G1139" t="s">
        <v>53</v>
      </c>
      <c r="H1139" t="s">
        <v>968</v>
      </c>
      <c r="I1139" t="s">
        <v>968</v>
      </c>
      <c r="J1139" t="s">
        <v>37</v>
      </c>
      <c r="K1139">
        <v>154</v>
      </c>
      <c r="L1139">
        <v>10</v>
      </c>
      <c r="M1139">
        <v>155</v>
      </c>
      <c r="N1139">
        <v>5</v>
      </c>
      <c r="O1139" t="s">
        <v>968</v>
      </c>
      <c r="P1139" t="s">
        <v>38</v>
      </c>
      <c r="Q1139">
        <v>0</v>
      </c>
      <c r="R1139">
        <v>5</v>
      </c>
      <c r="S1139" t="s">
        <v>1668</v>
      </c>
      <c r="T1139" t="s">
        <v>40</v>
      </c>
      <c r="U1139" t="s">
        <v>2466</v>
      </c>
      <c r="V1139" t="s">
        <v>989</v>
      </c>
      <c r="W1139" t="s">
        <v>463</v>
      </c>
      <c r="X1139" t="s">
        <v>2805</v>
      </c>
      <c r="Y1139" t="s">
        <v>45</v>
      </c>
      <c r="Z1139">
        <v>20</v>
      </c>
      <c r="AA1139">
        <v>6</v>
      </c>
      <c r="AB1139" t="s">
        <v>46</v>
      </c>
      <c r="AC1139" t="s">
        <v>47</v>
      </c>
      <c r="AD1139" t="s">
        <v>2821</v>
      </c>
      <c r="AE1139" t="s">
        <v>2822</v>
      </c>
    </row>
    <row r="1140" spans="1:31" x14ac:dyDescent="0.2">
      <c r="A1140" t="s">
        <v>31</v>
      </c>
      <c r="B1140">
        <v>2025</v>
      </c>
      <c r="C1140">
        <v>44</v>
      </c>
      <c r="D1140" s="1">
        <v>45773</v>
      </c>
      <c r="E1140" t="s">
        <v>75</v>
      </c>
      <c r="F1140" t="s">
        <v>2368</v>
      </c>
      <c r="G1140" t="s">
        <v>2080</v>
      </c>
      <c r="H1140" t="s">
        <v>36</v>
      </c>
      <c r="I1140" t="s">
        <v>2080</v>
      </c>
      <c r="J1140" t="s">
        <v>54</v>
      </c>
      <c r="K1140">
        <v>201</v>
      </c>
      <c r="L1140">
        <v>4</v>
      </c>
      <c r="M1140">
        <v>7</v>
      </c>
      <c r="N1140">
        <v>0</v>
      </c>
      <c r="O1140" t="s">
        <v>304</v>
      </c>
      <c r="P1140" t="s">
        <v>766</v>
      </c>
      <c r="Q1140">
        <v>0</v>
      </c>
      <c r="R1140">
        <v>0</v>
      </c>
      <c r="S1140" t="s">
        <v>304</v>
      </c>
      <c r="T1140" t="s">
        <v>2425</v>
      </c>
      <c r="U1140" t="s">
        <v>2725</v>
      </c>
      <c r="V1140" t="s">
        <v>2771</v>
      </c>
      <c r="W1140" t="s">
        <v>2228</v>
      </c>
      <c r="X1140" t="s">
        <v>2810</v>
      </c>
      <c r="Y1140" t="s">
        <v>45</v>
      </c>
      <c r="Z1140">
        <v>20</v>
      </c>
      <c r="AA1140">
        <v>6</v>
      </c>
      <c r="AB1140" t="s">
        <v>46</v>
      </c>
      <c r="AC1140" t="s">
        <v>47</v>
      </c>
      <c r="AD1140" t="s">
        <v>2823</v>
      </c>
      <c r="AE1140" t="s">
        <v>2824</v>
      </c>
    </row>
    <row r="1141" spans="1:31" x14ac:dyDescent="0.2">
      <c r="A1141" t="s">
        <v>31</v>
      </c>
      <c r="B1141">
        <v>2025</v>
      </c>
      <c r="C1141">
        <v>45</v>
      </c>
      <c r="D1141" s="1">
        <v>45774</v>
      </c>
      <c r="E1141" t="s">
        <v>85</v>
      </c>
      <c r="F1141" t="s">
        <v>2075</v>
      </c>
      <c r="G1141" t="s">
        <v>87</v>
      </c>
      <c r="H1141" t="s">
        <v>2213</v>
      </c>
      <c r="I1141" t="s">
        <v>2213</v>
      </c>
      <c r="J1141" t="s">
        <v>37</v>
      </c>
      <c r="K1141">
        <v>215</v>
      </c>
      <c r="L1141">
        <v>7</v>
      </c>
      <c r="M1141">
        <v>161</v>
      </c>
      <c r="N1141">
        <v>10</v>
      </c>
      <c r="O1141" t="s">
        <v>87</v>
      </c>
      <c r="P1141" t="s">
        <v>38</v>
      </c>
      <c r="Q1141">
        <v>54</v>
      </c>
      <c r="R1141">
        <v>0</v>
      </c>
      <c r="S1141" t="s">
        <v>2665</v>
      </c>
      <c r="T1141" t="s">
        <v>2215</v>
      </c>
      <c r="U1141" t="s">
        <v>1283</v>
      </c>
      <c r="V1141" t="s">
        <v>455</v>
      </c>
      <c r="W1141" t="s">
        <v>2233</v>
      </c>
      <c r="X1141" t="s">
        <v>2375</v>
      </c>
      <c r="Y1141" t="s">
        <v>45</v>
      </c>
      <c r="Z1141">
        <v>20</v>
      </c>
      <c r="AA1141">
        <v>6</v>
      </c>
      <c r="AB1141" t="s">
        <v>46</v>
      </c>
      <c r="AC1141" t="s">
        <v>47</v>
      </c>
      <c r="AD1141" t="s">
        <v>2825</v>
      </c>
      <c r="AE1141" t="s">
        <v>2826</v>
      </c>
    </row>
    <row r="1142" spans="1:31" x14ac:dyDescent="0.2">
      <c r="A1142" t="s">
        <v>31</v>
      </c>
      <c r="B1142">
        <v>2025</v>
      </c>
      <c r="C1142">
        <v>46</v>
      </c>
      <c r="D1142" s="1">
        <v>45774</v>
      </c>
      <c r="E1142" t="s">
        <v>63</v>
      </c>
      <c r="F1142" t="s">
        <v>2120</v>
      </c>
      <c r="G1142" t="s">
        <v>1820</v>
      </c>
      <c r="H1142" t="s">
        <v>2562</v>
      </c>
      <c r="I1142" t="s">
        <v>2562</v>
      </c>
      <c r="J1142" t="s">
        <v>37</v>
      </c>
      <c r="K1142">
        <v>162</v>
      </c>
      <c r="L1142">
        <v>8</v>
      </c>
      <c r="M1142">
        <v>165</v>
      </c>
      <c r="N1142">
        <v>4</v>
      </c>
      <c r="O1142" t="s">
        <v>2562</v>
      </c>
      <c r="P1142" t="s">
        <v>38</v>
      </c>
      <c r="Q1142">
        <v>0</v>
      </c>
      <c r="R1142">
        <v>6</v>
      </c>
      <c r="S1142" t="s">
        <v>1503</v>
      </c>
      <c r="T1142" t="s">
        <v>2816</v>
      </c>
      <c r="U1142" t="s">
        <v>2466</v>
      </c>
      <c r="V1142" t="s">
        <v>989</v>
      </c>
      <c r="W1142" t="s">
        <v>2219</v>
      </c>
      <c r="X1142" t="s">
        <v>2666</v>
      </c>
      <c r="Y1142" t="s">
        <v>45</v>
      </c>
      <c r="Z1142">
        <v>20</v>
      </c>
      <c r="AA1142">
        <v>6</v>
      </c>
      <c r="AB1142" t="s">
        <v>46</v>
      </c>
      <c r="AC1142" t="s">
        <v>47</v>
      </c>
      <c r="AD1142" t="s">
        <v>2827</v>
      </c>
      <c r="AE1142" t="s">
        <v>2828</v>
      </c>
    </row>
    <row r="1143" spans="1:31" x14ac:dyDescent="0.2">
      <c r="A1143" t="s">
        <v>31</v>
      </c>
      <c r="B1143">
        <v>2025</v>
      </c>
      <c r="C1143">
        <v>47</v>
      </c>
      <c r="D1143" s="1">
        <v>45775</v>
      </c>
      <c r="E1143" t="s">
        <v>95</v>
      </c>
      <c r="F1143" t="s">
        <v>2445</v>
      </c>
      <c r="G1143" t="s">
        <v>2214</v>
      </c>
      <c r="H1143" t="s">
        <v>66</v>
      </c>
      <c r="I1143" t="s">
        <v>66</v>
      </c>
      <c r="J1143" t="s">
        <v>37</v>
      </c>
      <c r="K1143">
        <v>209</v>
      </c>
      <c r="L1143">
        <v>4</v>
      </c>
      <c r="M1143">
        <v>212</v>
      </c>
      <c r="N1143">
        <v>2</v>
      </c>
      <c r="O1143" t="s">
        <v>66</v>
      </c>
      <c r="P1143" t="s">
        <v>38</v>
      </c>
      <c r="Q1143">
        <v>0</v>
      </c>
      <c r="R1143">
        <v>8</v>
      </c>
      <c r="S1143" t="s">
        <v>2829</v>
      </c>
      <c r="T1143" t="s">
        <v>2425</v>
      </c>
      <c r="U1143" t="s">
        <v>2143</v>
      </c>
      <c r="V1143" t="s">
        <v>939</v>
      </c>
      <c r="W1143" t="s">
        <v>1210</v>
      </c>
      <c r="X1143" t="s">
        <v>2390</v>
      </c>
      <c r="Y1143" t="s">
        <v>45</v>
      </c>
      <c r="Z1143">
        <v>20</v>
      </c>
      <c r="AA1143">
        <v>6</v>
      </c>
      <c r="AB1143" t="s">
        <v>46</v>
      </c>
      <c r="AC1143" t="s">
        <v>47</v>
      </c>
      <c r="AD1143" t="s">
        <v>2830</v>
      </c>
      <c r="AE1143" t="s">
        <v>2831</v>
      </c>
    </row>
    <row r="1144" spans="1:31" x14ac:dyDescent="0.2">
      <c r="A1144" t="s">
        <v>31</v>
      </c>
      <c r="B1144">
        <v>2025</v>
      </c>
      <c r="C1144">
        <v>48</v>
      </c>
      <c r="D1144" s="1">
        <v>45776</v>
      </c>
      <c r="E1144" t="s">
        <v>63</v>
      </c>
      <c r="F1144" t="s">
        <v>2120</v>
      </c>
      <c r="G1144" t="s">
        <v>36</v>
      </c>
      <c r="H1144" t="s">
        <v>1820</v>
      </c>
      <c r="I1144" t="s">
        <v>1820</v>
      </c>
      <c r="J1144" t="s">
        <v>37</v>
      </c>
      <c r="K1144">
        <v>204</v>
      </c>
      <c r="L1144">
        <v>9</v>
      </c>
      <c r="M1144">
        <v>190</v>
      </c>
      <c r="N1144">
        <v>9</v>
      </c>
      <c r="O1144" t="s">
        <v>36</v>
      </c>
      <c r="P1144" t="s">
        <v>38</v>
      </c>
      <c r="Q1144">
        <v>14</v>
      </c>
      <c r="R1144">
        <v>0</v>
      </c>
      <c r="S1144" t="s">
        <v>835</v>
      </c>
      <c r="T1144" t="s">
        <v>2816</v>
      </c>
      <c r="U1144" t="s">
        <v>2466</v>
      </c>
      <c r="V1144" t="s">
        <v>2219</v>
      </c>
      <c r="W1144" t="s">
        <v>989</v>
      </c>
      <c r="X1144" t="s">
        <v>2666</v>
      </c>
      <c r="Y1144" t="s">
        <v>45</v>
      </c>
      <c r="Z1144">
        <v>20</v>
      </c>
      <c r="AA1144">
        <v>6</v>
      </c>
      <c r="AB1144" t="s">
        <v>46</v>
      </c>
      <c r="AC1144" t="s">
        <v>47</v>
      </c>
      <c r="AD1144" t="s">
        <v>2832</v>
      </c>
      <c r="AE1144" t="s">
        <v>2833</v>
      </c>
    </row>
    <row r="1145" spans="1:31" x14ac:dyDescent="0.2">
      <c r="A1145" t="s">
        <v>31</v>
      </c>
      <c r="B1145">
        <v>2025</v>
      </c>
      <c r="C1145">
        <v>49</v>
      </c>
      <c r="D1145" s="1">
        <v>45777</v>
      </c>
      <c r="E1145" t="s">
        <v>108</v>
      </c>
      <c r="F1145" t="s">
        <v>2072</v>
      </c>
      <c r="G1145" t="s">
        <v>53</v>
      </c>
      <c r="H1145" t="s">
        <v>2080</v>
      </c>
      <c r="I1145" t="s">
        <v>2080</v>
      </c>
      <c r="J1145" t="s">
        <v>37</v>
      </c>
      <c r="K1145">
        <v>190</v>
      </c>
      <c r="L1145">
        <v>10</v>
      </c>
      <c r="M1145">
        <v>194</v>
      </c>
      <c r="N1145">
        <v>6</v>
      </c>
      <c r="O1145" t="s">
        <v>2080</v>
      </c>
      <c r="P1145" t="s">
        <v>38</v>
      </c>
      <c r="Q1145">
        <v>0</v>
      </c>
      <c r="R1145">
        <v>4</v>
      </c>
      <c r="S1145" t="s">
        <v>1322</v>
      </c>
      <c r="T1145" t="s">
        <v>1461</v>
      </c>
      <c r="U1145" t="s">
        <v>2228</v>
      </c>
      <c r="V1145" t="s">
        <v>2771</v>
      </c>
      <c r="W1145" t="s">
        <v>1193</v>
      </c>
      <c r="X1145" t="s">
        <v>2810</v>
      </c>
      <c r="Y1145" t="s">
        <v>45</v>
      </c>
      <c r="Z1145">
        <v>20</v>
      </c>
      <c r="AA1145">
        <v>6</v>
      </c>
      <c r="AB1145" t="s">
        <v>46</v>
      </c>
      <c r="AC1145" t="s">
        <v>47</v>
      </c>
      <c r="AD1145" t="s">
        <v>2834</v>
      </c>
      <c r="AE1145" t="s">
        <v>2835</v>
      </c>
    </row>
    <row r="1146" spans="1:31" x14ac:dyDescent="0.2">
      <c r="A1146" t="s">
        <v>31</v>
      </c>
      <c r="B1146">
        <v>2025</v>
      </c>
      <c r="C1146">
        <v>50</v>
      </c>
      <c r="D1146" s="1">
        <v>45778</v>
      </c>
      <c r="E1146" t="s">
        <v>95</v>
      </c>
      <c r="F1146" t="s">
        <v>2445</v>
      </c>
      <c r="G1146" t="s">
        <v>87</v>
      </c>
      <c r="H1146" t="s">
        <v>66</v>
      </c>
      <c r="I1146" t="s">
        <v>66</v>
      </c>
      <c r="J1146" t="s">
        <v>37</v>
      </c>
      <c r="K1146">
        <v>217</v>
      </c>
      <c r="L1146">
        <v>2</v>
      </c>
      <c r="M1146">
        <v>117</v>
      </c>
      <c r="N1146">
        <v>10</v>
      </c>
      <c r="O1146" t="s">
        <v>87</v>
      </c>
      <c r="P1146" t="s">
        <v>38</v>
      </c>
      <c r="Q1146">
        <v>100</v>
      </c>
      <c r="R1146">
        <v>0</v>
      </c>
      <c r="S1146" t="s">
        <v>2836</v>
      </c>
      <c r="T1146" t="s">
        <v>2215</v>
      </c>
      <c r="U1146" t="s">
        <v>2479</v>
      </c>
      <c r="V1146" t="s">
        <v>2233</v>
      </c>
      <c r="W1146" t="s">
        <v>1283</v>
      </c>
      <c r="X1146" t="s">
        <v>2375</v>
      </c>
      <c r="Y1146" t="s">
        <v>45</v>
      </c>
      <c r="Z1146">
        <v>20</v>
      </c>
      <c r="AA1146">
        <v>6</v>
      </c>
      <c r="AB1146" t="s">
        <v>46</v>
      </c>
      <c r="AC1146" t="s">
        <v>47</v>
      </c>
      <c r="AD1146" t="s">
        <v>2837</v>
      </c>
      <c r="AE1146" t="s">
        <v>2838</v>
      </c>
    </row>
    <row r="1147" spans="1:31" x14ac:dyDescent="0.2">
      <c r="A1147" t="s">
        <v>31</v>
      </c>
      <c r="B1147">
        <v>2025</v>
      </c>
      <c r="C1147">
        <v>51</v>
      </c>
      <c r="D1147" s="1">
        <v>45779</v>
      </c>
      <c r="E1147" t="s">
        <v>458</v>
      </c>
      <c r="F1147" t="s">
        <v>2115</v>
      </c>
      <c r="G1147" t="s">
        <v>2214</v>
      </c>
      <c r="H1147" t="s">
        <v>968</v>
      </c>
      <c r="I1147" t="s">
        <v>968</v>
      </c>
      <c r="J1147" t="s">
        <v>37</v>
      </c>
      <c r="K1147">
        <v>224</v>
      </c>
      <c r="L1147">
        <v>6</v>
      </c>
      <c r="M1147">
        <v>186</v>
      </c>
      <c r="N1147">
        <v>6</v>
      </c>
      <c r="O1147" t="s">
        <v>2214</v>
      </c>
      <c r="P1147" t="s">
        <v>38</v>
      </c>
      <c r="Q1147">
        <v>38</v>
      </c>
      <c r="R1147">
        <v>0</v>
      </c>
      <c r="S1147" t="s">
        <v>2743</v>
      </c>
      <c r="T1147" t="s">
        <v>2517</v>
      </c>
      <c r="U1147" t="s">
        <v>2642</v>
      </c>
      <c r="V1147" t="s">
        <v>939</v>
      </c>
      <c r="W1147" t="s">
        <v>2143</v>
      </c>
      <c r="X1147" t="s">
        <v>2390</v>
      </c>
      <c r="Y1147" t="s">
        <v>45</v>
      </c>
      <c r="Z1147">
        <v>20</v>
      </c>
      <c r="AA1147">
        <v>6</v>
      </c>
      <c r="AB1147" t="s">
        <v>46</v>
      </c>
      <c r="AC1147" t="s">
        <v>47</v>
      </c>
      <c r="AD1147" t="s">
        <v>2839</v>
      </c>
      <c r="AE1147" t="s">
        <v>2840</v>
      </c>
    </row>
    <row r="1148" spans="1:31" x14ac:dyDescent="0.2">
      <c r="A1148" t="s">
        <v>31</v>
      </c>
      <c r="B1148">
        <v>2025</v>
      </c>
      <c r="C1148">
        <v>52</v>
      </c>
      <c r="D1148" s="1">
        <v>45780</v>
      </c>
      <c r="E1148" t="s">
        <v>1558</v>
      </c>
      <c r="F1148" t="s">
        <v>2393</v>
      </c>
      <c r="G1148" t="s">
        <v>2562</v>
      </c>
      <c r="H1148" t="s">
        <v>53</v>
      </c>
      <c r="I1148" t="s">
        <v>53</v>
      </c>
      <c r="J1148" t="s">
        <v>37</v>
      </c>
      <c r="K1148">
        <v>213</v>
      </c>
      <c r="L1148">
        <v>5</v>
      </c>
      <c r="M1148">
        <v>211</v>
      </c>
      <c r="N1148">
        <v>5</v>
      </c>
      <c r="O1148" t="s">
        <v>2562</v>
      </c>
      <c r="P1148" t="s">
        <v>38</v>
      </c>
      <c r="Q1148">
        <v>2</v>
      </c>
      <c r="R1148">
        <v>0</v>
      </c>
      <c r="S1148" t="s">
        <v>2607</v>
      </c>
      <c r="T1148" t="s">
        <v>2816</v>
      </c>
      <c r="U1148" t="s">
        <v>2466</v>
      </c>
      <c r="V1148" t="s">
        <v>989</v>
      </c>
      <c r="W1148" t="s">
        <v>463</v>
      </c>
      <c r="X1148" t="s">
        <v>2805</v>
      </c>
      <c r="Y1148" t="s">
        <v>45</v>
      </c>
      <c r="Z1148">
        <v>20</v>
      </c>
      <c r="AA1148">
        <v>6</v>
      </c>
      <c r="AB1148" t="s">
        <v>46</v>
      </c>
      <c r="AC1148" t="s">
        <v>47</v>
      </c>
      <c r="AD1148" t="s">
        <v>2841</v>
      </c>
      <c r="AE1148" t="s">
        <v>2842</v>
      </c>
    </row>
    <row r="1149" spans="1:31" x14ac:dyDescent="0.2">
      <c r="A1149" t="s">
        <v>31</v>
      </c>
      <c r="B1149">
        <v>2025</v>
      </c>
      <c r="C1149">
        <v>53</v>
      </c>
      <c r="D1149" s="1">
        <v>45781</v>
      </c>
      <c r="E1149" t="s">
        <v>75</v>
      </c>
      <c r="F1149" t="s">
        <v>2368</v>
      </c>
      <c r="G1149" t="s">
        <v>36</v>
      </c>
      <c r="H1149" t="s">
        <v>66</v>
      </c>
      <c r="I1149" t="s">
        <v>36</v>
      </c>
      <c r="J1149" t="s">
        <v>54</v>
      </c>
      <c r="K1149">
        <v>206</v>
      </c>
      <c r="L1149">
        <v>4</v>
      </c>
      <c r="M1149">
        <v>205</v>
      </c>
      <c r="N1149">
        <v>8</v>
      </c>
      <c r="O1149" t="s">
        <v>36</v>
      </c>
      <c r="P1149" t="s">
        <v>38</v>
      </c>
      <c r="Q1149">
        <v>1</v>
      </c>
      <c r="R1149">
        <v>0</v>
      </c>
      <c r="S1149" t="s">
        <v>1308</v>
      </c>
      <c r="T1149" t="s">
        <v>1461</v>
      </c>
      <c r="U1149" t="s">
        <v>2771</v>
      </c>
      <c r="V1149" t="s">
        <v>1193</v>
      </c>
      <c r="W1149" t="s">
        <v>2725</v>
      </c>
      <c r="X1149" t="s">
        <v>2810</v>
      </c>
      <c r="Y1149" t="s">
        <v>45</v>
      </c>
      <c r="Z1149">
        <v>20</v>
      </c>
      <c r="AA1149">
        <v>6</v>
      </c>
      <c r="AB1149" t="s">
        <v>46</v>
      </c>
      <c r="AC1149" t="s">
        <v>47</v>
      </c>
      <c r="AD1149" t="s">
        <v>2843</v>
      </c>
      <c r="AE1149" t="s">
        <v>2844</v>
      </c>
    </row>
    <row r="1150" spans="1:31" x14ac:dyDescent="0.2">
      <c r="A1150" t="s">
        <v>31</v>
      </c>
      <c r="B1150">
        <v>2025</v>
      </c>
      <c r="C1150">
        <v>54</v>
      </c>
      <c r="D1150" s="1">
        <v>45781</v>
      </c>
      <c r="E1150" t="s">
        <v>578</v>
      </c>
      <c r="F1150" t="s">
        <v>2537</v>
      </c>
      <c r="G1150" t="s">
        <v>2080</v>
      </c>
      <c r="H1150" t="s">
        <v>2213</v>
      </c>
      <c r="I1150" t="s">
        <v>2213</v>
      </c>
      <c r="J1150" t="s">
        <v>37</v>
      </c>
      <c r="K1150">
        <v>236</v>
      </c>
      <c r="L1150">
        <v>5</v>
      </c>
      <c r="M1150">
        <v>199</v>
      </c>
      <c r="N1150">
        <v>7</v>
      </c>
      <c r="O1150" t="s">
        <v>2080</v>
      </c>
      <c r="P1150" t="s">
        <v>38</v>
      </c>
      <c r="Q1150">
        <v>37</v>
      </c>
      <c r="R1150">
        <v>0</v>
      </c>
      <c r="S1150" t="s">
        <v>2525</v>
      </c>
      <c r="T1150" t="s">
        <v>2215</v>
      </c>
      <c r="U1150" t="s">
        <v>455</v>
      </c>
      <c r="V1150" t="s">
        <v>2479</v>
      </c>
      <c r="W1150" t="s">
        <v>1283</v>
      </c>
      <c r="X1150" t="s">
        <v>2666</v>
      </c>
      <c r="Y1150" t="s">
        <v>45</v>
      </c>
      <c r="Z1150">
        <v>20</v>
      </c>
      <c r="AA1150">
        <v>6</v>
      </c>
      <c r="AB1150" t="s">
        <v>46</v>
      </c>
      <c r="AC1150" t="s">
        <v>47</v>
      </c>
      <c r="AD1150" t="s">
        <v>2845</v>
      </c>
      <c r="AE1150" t="s">
        <v>2846</v>
      </c>
    </row>
    <row r="1151" spans="1:31" x14ac:dyDescent="0.2">
      <c r="A1151" t="s">
        <v>31</v>
      </c>
      <c r="B1151">
        <v>2025</v>
      </c>
      <c r="C1151">
        <v>55</v>
      </c>
      <c r="D1151" s="1">
        <v>45782</v>
      </c>
      <c r="E1151" t="s">
        <v>101</v>
      </c>
      <c r="F1151" t="s">
        <v>2389</v>
      </c>
      <c r="G1151" t="s">
        <v>1820</v>
      </c>
      <c r="H1151" t="s">
        <v>968</v>
      </c>
      <c r="I1151" t="s">
        <v>968</v>
      </c>
      <c r="J1151" t="s">
        <v>37</v>
      </c>
      <c r="K1151">
        <v>133</v>
      </c>
      <c r="L1151">
        <v>7</v>
      </c>
      <c r="M1151">
        <v>0</v>
      </c>
      <c r="N1151">
        <v>0</v>
      </c>
      <c r="O1151" t="s">
        <v>304</v>
      </c>
      <c r="P1151" t="s">
        <v>766</v>
      </c>
      <c r="Q1151">
        <v>0</v>
      </c>
      <c r="R1151">
        <v>0</v>
      </c>
      <c r="S1151" t="s">
        <v>304</v>
      </c>
      <c r="T1151" t="s">
        <v>2517</v>
      </c>
      <c r="U1151" t="s">
        <v>2642</v>
      </c>
      <c r="V1151" t="s">
        <v>939</v>
      </c>
      <c r="W1151" t="s">
        <v>2143</v>
      </c>
      <c r="X1151" t="s">
        <v>2390</v>
      </c>
      <c r="Y1151" t="s">
        <v>45</v>
      </c>
      <c r="Z1151">
        <v>20</v>
      </c>
      <c r="AA1151">
        <v>6</v>
      </c>
      <c r="AB1151" t="s">
        <v>46</v>
      </c>
      <c r="AC1151" t="s">
        <v>47</v>
      </c>
      <c r="AD1151" t="s">
        <v>2847</v>
      </c>
      <c r="AE1151" t="s">
        <v>2848</v>
      </c>
    </row>
    <row r="1152" spans="1:31" x14ac:dyDescent="0.2">
      <c r="A1152" t="s">
        <v>31</v>
      </c>
      <c r="B1152">
        <v>2025</v>
      </c>
      <c r="C1152">
        <v>56</v>
      </c>
      <c r="D1152" s="1">
        <v>45783</v>
      </c>
      <c r="E1152" t="s">
        <v>85</v>
      </c>
      <c r="F1152" t="s">
        <v>2075</v>
      </c>
      <c r="G1152" t="s">
        <v>87</v>
      </c>
      <c r="H1152" t="s">
        <v>2214</v>
      </c>
      <c r="I1152" t="s">
        <v>2214</v>
      </c>
      <c r="J1152" t="s">
        <v>37</v>
      </c>
      <c r="K1152">
        <v>155</v>
      </c>
      <c r="L1152">
        <v>8</v>
      </c>
      <c r="M1152">
        <v>147</v>
      </c>
      <c r="N1152">
        <v>7</v>
      </c>
      <c r="O1152" t="s">
        <v>2214</v>
      </c>
      <c r="P1152" t="s">
        <v>38</v>
      </c>
      <c r="Q1152">
        <v>0</v>
      </c>
      <c r="R1152">
        <v>3</v>
      </c>
      <c r="S1152" t="s">
        <v>1930</v>
      </c>
      <c r="T1152" t="s">
        <v>2849</v>
      </c>
      <c r="U1152" t="s">
        <v>2805</v>
      </c>
      <c r="V1152" t="s">
        <v>2219</v>
      </c>
      <c r="W1152" t="s">
        <v>463</v>
      </c>
      <c r="X1152" t="s">
        <v>2466</v>
      </c>
      <c r="Y1152" t="s">
        <v>45</v>
      </c>
      <c r="Z1152">
        <v>20</v>
      </c>
      <c r="AA1152">
        <v>6</v>
      </c>
      <c r="AB1152" t="s">
        <v>46</v>
      </c>
      <c r="AC1152" t="s">
        <v>47</v>
      </c>
      <c r="AD1152" t="s">
        <v>2850</v>
      </c>
      <c r="AE1152" t="s">
        <v>2851</v>
      </c>
    </row>
    <row r="1153" spans="1:31" x14ac:dyDescent="0.2">
      <c r="A1153" t="s">
        <v>31</v>
      </c>
      <c r="B1153">
        <v>2025</v>
      </c>
      <c r="C1153">
        <v>57</v>
      </c>
      <c r="D1153" s="1">
        <v>45784</v>
      </c>
      <c r="E1153" t="s">
        <v>75</v>
      </c>
      <c r="F1153" t="s">
        <v>2368</v>
      </c>
      <c r="G1153" t="s">
        <v>36</v>
      </c>
      <c r="H1153" t="s">
        <v>53</v>
      </c>
      <c r="I1153" t="s">
        <v>36</v>
      </c>
      <c r="J1153" t="s">
        <v>54</v>
      </c>
      <c r="K1153">
        <v>179</v>
      </c>
      <c r="L1153">
        <v>6</v>
      </c>
      <c r="M1153">
        <v>183</v>
      </c>
      <c r="N1153">
        <v>8</v>
      </c>
      <c r="O1153" t="s">
        <v>53</v>
      </c>
      <c r="P1153" t="s">
        <v>38</v>
      </c>
      <c r="Q1153">
        <v>0</v>
      </c>
      <c r="R1153">
        <v>2</v>
      </c>
      <c r="S1153" t="s">
        <v>2728</v>
      </c>
      <c r="T1153" t="s">
        <v>1461</v>
      </c>
      <c r="U1153" t="s">
        <v>2725</v>
      </c>
      <c r="V1153" t="s">
        <v>2771</v>
      </c>
      <c r="W1153" t="s">
        <v>1193</v>
      </c>
      <c r="X1153" t="s">
        <v>2810</v>
      </c>
      <c r="Y1153" t="s">
        <v>45</v>
      </c>
      <c r="Z1153">
        <v>20</v>
      </c>
      <c r="AA1153">
        <v>6</v>
      </c>
      <c r="AB1153" t="s">
        <v>46</v>
      </c>
      <c r="AC1153" t="s">
        <v>47</v>
      </c>
      <c r="AD1153" t="s">
        <v>2852</v>
      </c>
      <c r="AE1153" t="s">
        <v>2853</v>
      </c>
    </row>
    <row r="1154" spans="1:31" x14ac:dyDescent="0.2">
      <c r="A1154" t="s">
        <v>31</v>
      </c>
      <c r="B1154">
        <v>2025</v>
      </c>
      <c r="C1154">
        <v>58</v>
      </c>
      <c r="D1154" s="1">
        <v>45785</v>
      </c>
      <c r="E1154" t="s">
        <v>578</v>
      </c>
      <c r="F1154" t="s">
        <v>2537</v>
      </c>
      <c r="G1154" t="s">
        <v>2080</v>
      </c>
      <c r="H1154" t="s">
        <v>1820</v>
      </c>
      <c r="I1154" t="s">
        <v>2080</v>
      </c>
      <c r="J1154" t="s">
        <v>54</v>
      </c>
      <c r="K1154">
        <v>122</v>
      </c>
      <c r="L1154">
        <v>1</v>
      </c>
      <c r="M1154">
        <v>0</v>
      </c>
      <c r="N1154">
        <v>0</v>
      </c>
      <c r="O1154" t="s">
        <v>304</v>
      </c>
      <c r="P1154" t="s">
        <v>766</v>
      </c>
      <c r="Q1154">
        <v>0</v>
      </c>
      <c r="R1154">
        <v>0</v>
      </c>
      <c r="S1154" t="s">
        <v>304</v>
      </c>
      <c r="T1154" t="s">
        <v>2215</v>
      </c>
      <c r="U1154" t="s">
        <v>1283</v>
      </c>
      <c r="V1154" t="s">
        <v>2479</v>
      </c>
      <c r="W1154" t="s">
        <v>455</v>
      </c>
      <c r="X1154" t="s">
        <v>2666</v>
      </c>
      <c r="Y1154" t="s">
        <v>45</v>
      </c>
      <c r="Z1154">
        <v>20</v>
      </c>
      <c r="AA1154">
        <v>6</v>
      </c>
      <c r="AB1154" t="s">
        <v>46</v>
      </c>
      <c r="AC1154" t="s">
        <v>47</v>
      </c>
      <c r="AD1154" t="s">
        <v>2854</v>
      </c>
      <c r="AE1154" t="s">
        <v>2855</v>
      </c>
    </row>
    <row r="1155" spans="1:31" x14ac:dyDescent="0.2">
      <c r="A1155" t="s">
        <v>31</v>
      </c>
      <c r="B1155">
        <v>2025</v>
      </c>
      <c r="C1155">
        <v>59</v>
      </c>
      <c r="D1155" s="1">
        <v>45795</v>
      </c>
      <c r="E1155" t="s">
        <v>95</v>
      </c>
      <c r="F1155" t="s">
        <v>2445</v>
      </c>
      <c r="G1155" t="s">
        <v>2080</v>
      </c>
      <c r="H1155" t="s">
        <v>66</v>
      </c>
      <c r="I1155" t="s">
        <v>2080</v>
      </c>
      <c r="J1155" t="s">
        <v>54</v>
      </c>
      <c r="K1155">
        <v>219</v>
      </c>
      <c r="L1155">
        <v>5</v>
      </c>
      <c r="M1155">
        <v>209</v>
      </c>
      <c r="N1155">
        <v>7</v>
      </c>
      <c r="O1155" t="s">
        <v>2080</v>
      </c>
      <c r="P1155" t="s">
        <v>38</v>
      </c>
      <c r="Q1155">
        <v>10</v>
      </c>
      <c r="R1155">
        <v>0</v>
      </c>
      <c r="S1155" t="s">
        <v>2127</v>
      </c>
      <c r="T1155" t="s">
        <v>2215</v>
      </c>
      <c r="U1155" t="s">
        <v>2375</v>
      </c>
      <c r="V1155" t="s">
        <v>1283</v>
      </c>
      <c r="W1155" t="s">
        <v>455</v>
      </c>
      <c r="X1155" t="s">
        <v>2479</v>
      </c>
      <c r="Y1155" t="s">
        <v>45</v>
      </c>
      <c r="Z1155">
        <v>20</v>
      </c>
      <c r="AA1155">
        <v>6</v>
      </c>
      <c r="AB1155" t="s">
        <v>46</v>
      </c>
      <c r="AC1155" t="s">
        <v>47</v>
      </c>
      <c r="AD1155" t="s">
        <v>2856</v>
      </c>
      <c r="AE1155" t="s">
        <v>2857</v>
      </c>
    </row>
    <row r="1156" spans="1:31" x14ac:dyDescent="0.2">
      <c r="A1156" t="s">
        <v>31</v>
      </c>
      <c r="B1156">
        <v>2025</v>
      </c>
      <c r="C1156">
        <v>60</v>
      </c>
      <c r="D1156" s="1">
        <v>45795</v>
      </c>
      <c r="E1156" t="s">
        <v>63</v>
      </c>
      <c r="F1156" t="s">
        <v>2120</v>
      </c>
      <c r="G1156" t="s">
        <v>1820</v>
      </c>
      <c r="H1156" t="s">
        <v>2214</v>
      </c>
      <c r="I1156" t="s">
        <v>2214</v>
      </c>
      <c r="J1156" t="s">
        <v>37</v>
      </c>
      <c r="K1156">
        <v>199</v>
      </c>
      <c r="L1156">
        <v>3</v>
      </c>
      <c r="M1156">
        <v>205</v>
      </c>
      <c r="N1156">
        <v>0</v>
      </c>
      <c r="O1156" t="s">
        <v>2214</v>
      </c>
      <c r="P1156" t="s">
        <v>38</v>
      </c>
      <c r="Q1156">
        <v>0</v>
      </c>
      <c r="R1156">
        <v>10</v>
      </c>
      <c r="S1156" t="s">
        <v>2398</v>
      </c>
      <c r="T1156" t="s">
        <v>2849</v>
      </c>
      <c r="U1156" t="s">
        <v>2725</v>
      </c>
      <c r="V1156" t="s">
        <v>2636</v>
      </c>
      <c r="W1156" t="s">
        <v>1193</v>
      </c>
      <c r="X1156" t="s">
        <v>2810</v>
      </c>
      <c r="Y1156" t="s">
        <v>45</v>
      </c>
      <c r="Z1156">
        <v>20</v>
      </c>
      <c r="AA1156">
        <v>6</v>
      </c>
      <c r="AB1156" t="s">
        <v>46</v>
      </c>
      <c r="AC1156" t="s">
        <v>47</v>
      </c>
      <c r="AD1156" t="s">
        <v>2858</v>
      </c>
      <c r="AE1156" t="s">
        <v>2859</v>
      </c>
    </row>
    <row r="1157" spans="1:31" x14ac:dyDescent="0.2">
      <c r="A1157" t="s">
        <v>31</v>
      </c>
      <c r="B1157">
        <v>2025</v>
      </c>
      <c r="C1157">
        <v>61</v>
      </c>
      <c r="D1157" s="1">
        <v>45796</v>
      </c>
      <c r="E1157" t="s">
        <v>2383</v>
      </c>
      <c r="F1157" t="s">
        <v>2384</v>
      </c>
      <c r="G1157" t="s">
        <v>2213</v>
      </c>
      <c r="H1157" t="s">
        <v>968</v>
      </c>
      <c r="I1157" t="s">
        <v>968</v>
      </c>
      <c r="J1157" t="s">
        <v>37</v>
      </c>
      <c r="K1157">
        <v>205</v>
      </c>
      <c r="L1157">
        <v>7</v>
      </c>
      <c r="M1157">
        <v>206</v>
      </c>
      <c r="N1157">
        <v>5</v>
      </c>
      <c r="O1157" t="s">
        <v>968</v>
      </c>
      <c r="P1157" t="s">
        <v>38</v>
      </c>
      <c r="Q1157">
        <v>0</v>
      </c>
      <c r="R1157">
        <v>6</v>
      </c>
      <c r="S1157" t="s">
        <v>2249</v>
      </c>
      <c r="T1157" t="s">
        <v>2517</v>
      </c>
      <c r="U1157" t="s">
        <v>2642</v>
      </c>
      <c r="V1157" t="s">
        <v>2143</v>
      </c>
      <c r="W1157" t="s">
        <v>939</v>
      </c>
      <c r="X1157" t="s">
        <v>2390</v>
      </c>
      <c r="Y1157" t="s">
        <v>45</v>
      </c>
      <c r="Z1157">
        <v>20</v>
      </c>
      <c r="AA1157">
        <v>6</v>
      </c>
      <c r="AB1157" t="s">
        <v>46</v>
      </c>
      <c r="AC1157" t="s">
        <v>47</v>
      </c>
      <c r="AD1157" t="s">
        <v>2860</v>
      </c>
      <c r="AE1157" t="s">
        <v>2861</v>
      </c>
    </row>
    <row r="1158" spans="1:31" x14ac:dyDescent="0.2">
      <c r="A1158" t="s">
        <v>31</v>
      </c>
      <c r="B1158">
        <v>2025</v>
      </c>
      <c r="C1158">
        <v>62</v>
      </c>
      <c r="D1158" s="1">
        <v>45797</v>
      </c>
      <c r="E1158" t="s">
        <v>63</v>
      </c>
      <c r="F1158" t="s">
        <v>2120</v>
      </c>
      <c r="G1158" t="s">
        <v>53</v>
      </c>
      <c r="H1158" t="s">
        <v>66</v>
      </c>
      <c r="I1158" t="s">
        <v>66</v>
      </c>
      <c r="J1158" t="s">
        <v>37</v>
      </c>
      <c r="K1158">
        <v>187</v>
      </c>
      <c r="L1158">
        <v>8</v>
      </c>
      <c r="M1158">
        <v>188</v>
      </c>
      <c r="N1158">
        <v>4</v>
      </c>
      <c r="O1158" t="s">
        <v>66</v>
      </c>
      <c r="P1158" t="s">
        <v>38</v>
      </c>
      <c r="Q1158">
        <v>0</v>
      </c>
      <c r="R1158">
        <v>6</v>
      </c>
      <c r="S1158" t="s">
        <v>2555</v>
      </c>
      <c r="T1158" t="s">
        <v>2849</v>
      </c>
      <c r="U1158" t="s">
        <v>2636</v>
      </c>
      <c r="V1158" t="s">
        <v>1193</v>
      </c>
      <c r="W1158" t="s">
        <v>2725</v>
      </c>
      <c r="X1158" t="s">
        <v>2810</v>
      </c>
      <c r="Y1158" t="s">
        <v>45</v>
      </c>
      <c r="Z1158">
        <v>20</v>
      </c>
      <c r="AA1158">
        <v>6</v>
      </c>
      <c r="AB1158" t="s">
        <v>46</v>
      </c>
      <c r="AC1158" t="s">
        <v>47</v>
      </c>
      <c r="AD1158" t="s">
        <v>2862</v>
      </c>
      <c r="AE1158" t="s">
        <v>2863</v>
      </c>
    </row>
    <row r="1159" spans="1:31" x14ac:dyDescent="0.2">
      <c r="A1159" t="s">
        <v>31</v>
      </c>
      <c r="B1159">
        <v>2025</v>
      </c>
      <c r="C1159">
        <v>63</v>
      </c>
      <c r="D1159" s="1">
        <v>45798</v>
      </c>
      <c r="E1159" t="s">
        <v>85</v>
      </c>
      <c r="F1159" t="s">
        <v>2075</v>
      </c>
      <c r="G1159" t="s">
        <v>87</v>
      </c>
      <c r="H1159" t="s">
        <v>1820</v>
      </c>
      <c r="I1159" t="s">
        <v>1820</v>
      </c>
      <c r="J1159" t="s">
        <v>37</v>
      </c>
      <c r="K1159">
        <v>180</v>
      </c>
      <c r="L1159">
        <v>5</v>
      </c>
      <c r="M1159">
        <v>121</v>
      </c>
      <c r="N1159">
        <v>10</v>
      </c>
      <c r="O1159" t="s">
        <v>87</v>
      </c>
      <c r="P1159" t="s">
        <v>38</v>
      </c>
      <c r="Q1159">
        <v>59</v>
      </c>
      <c r="R1159">
        <v>0</v>
      </c>
      <c r="S1159" t="s">
        <v>1455</v>
      </c>
      <c r="T1159" t="s">
        <v>2215</v>
      </c>
      <c r="U1159" t="s">
        <v>2375</v>
      </c>
      <c r="V1159" t="s">
        <v>455</v>
      </c>
      <c r="W1159" t="s">
        <v>1283</v>
      </c>
      <c r="X1159" t="s">
        <v>2479</v>
      </c>
      <c r="Y1159" t="s">
        <v>45</v>
      </c>
      <c r="Z1159">
        <v>20</v>
      </c>
      <c r="AA1159">
        <v>6</v>
      </c>
      <c r="AB1159" t="s">
        <v>46</v>
      </c>
      <c r="AC1159" t="s">
        <v>47</v>
      </c>
      <c r="AD1159" t="s">
        <v>2864</v>
      </c>
      <c r="AE1159" t="s">
        <v>2865</v>
      </c>
    </row>
    <row r="1160" spans="1:31" x14ac:dyDescent="0.2">
      <c r="A1160" t="s">
        <v>31</v>
      </c>
      <c r="B1160">
        <v>2025</v>
      </c>
      <c r="C1160">
        <v>64</v>
      </c>
      <c r="D1160" s="1">
        <v>45799</v>
      </c>
      <c r="E1160" t="s">
        <v>458</v>
      </c>
      <c r="F1160" t="s">
        <v>2115</v>
      </c>
      <c r="G1160" t="s">
        <v>2213</v>
      </c>
      <c r="H1160" t="s">
        <v>2214</v>
      </c>
      <c r="I1160" t="s">
        <v>2214</v>
      </c>
      <c r="J1160" t="s">
        <v>37</v>
      </c>
      <c r="K1160">
        <v>235</v>
      </c>
      <c r="L1160">
        <v>2</v>
      </c>
      <c r="M1160">
        <v>202</v>
      </c>
      <c r="N1160">
        <v>9</v>
      </c>
      <c r="O1160" t="s">
        <v>2213</v>
      </c>
      <c r="P1160" t="s">
        <v>38</v>
      </c>
      <c r="Q1160">
        <v>33</v>
      </c>
      <c r="R1160">
        <v>0</v>
      </c>
      <c r="S1160" t="s">
        <v>729</v>
      </c>
      <c r="T1160" t="s">
        <v>1461</v>
      </c>
      <c r="U1160" t="s">
        <v>463</v>
      </c>
      <c r="V1160" t="s">
        <v>2466</v>
      </c>
      <c r="W1160" t="s">
        <v>989</v>
      </c>
      <c r="X1160" t="s">
        <v>2805</v>
      </c>
      <c r="Y1160" t="s">
        <v>45</v>
      </c>
      <c r="Z1160">
        <v>20</v>
      </c>
      <c r="AA1160">
        <v>6</v>
      </c>
      <c r="AB1160" t="s">
        <v>46</v>
      </c>
      <c r="AC1160" t="s">
        <v>47</v>
      </c>
      <c r="AD1160" t="s">
        <v>2866</v>
      </c>
      <c r="AE1160" t="s">
        <v>2867</v>
      </c>
    </row>
    <row r="1161" spans="1:31" x14ac:dyDescent="0.2">
      <c r="A1161" t="s">
        <v>31</v>
      </c>
      <c r="B1161">
        <v>2025</v>
      </c>
      <c r="C1161">
        <v>65</v>
      </c>
      <c r="D1161" s="1">
        <v>45800</v>
      </c>
      <c r="E1161" t="s">
        <v>2383</v>
      </c>
      <c r="F1161" t="s">
        <v>2384</v>
      </c>
      <c r="G1161" t="s">
        <v>968</v>
      </c>
      <c r="H1161" t="s">
        <v>2562</v>
      </c>
      <c r="I1161" t="s">
        <v>2562</v>
      </c>
      <c r="J1161" t="s">
        <v>37</v>
      </c>
      <c r="K1161">
        <v>231</v>
      </c>
      <c r="L1161">
        <v>6</v>
      </c>
      <c r="M1161">
        <v>189</v>
      </c>
      <c r="N1161">
        <v>10</v>
      </c>
      <c r="O1161" t="s">
        <v>968</v>
      </c>
      <c r="P1161" t="s">
        <v>38</v>
      </c>
      <c r="Q1161">
        <v>42</v>
      </c>
      <c r="R1161">
        <v>0</v>
      </c>
      <c r="S1161" t="s">
        <v>1771</v>
      </c>
      <c r="T1161" t="s">
        <v>2517</v>
      </c>
      <c r="U1161" t="s">
        <v>2642</v>
      </c>
      <c r="V1161" t="s">
        <v>2143</v>
      </c>
      <c r="W1161" t="s">
        <v>1210</v>
      </c>
      <c r="X1161" t="s">
        <v>2390</v>
      </c>
      <c r="Y1161" t="s">
        <v>45</v>
      </c>
      <c r="Z1161">
        <v>20</v>
      </c>
      <c r="AA1161">
        <v>6</v>
      </c>
      <c r="AB1161" t="s">
        <v>46</v>
      </c>
      <c r="AC1161" t="s">
        <v>47</v>
      </c>
      <c r="AD1161" t="s">
        <v>2868</v>
      </c>
      <c r="AE1161" t="s">
        <v>2869</v>
      </c>
    </row>
    <row r="1162" spans="1:31" x14ac:dyDescent="0.2">
      <c r="A1162" t="s">
        <v>31</v>
      </c>
      <c r="B1162">
        <v>2025</v>
      </c>
      <c r="C1162">
        <v>66</v>
      </c>
      <c r="D1162" s="1">
        <v>45801</v>
      </c>
      <c r="E1162" t="s">
        <v>95</v>
      </c>
      <c r="F1162" t="s">
        <v>2445</v>
      </c>
      <c r="G1162" t="s">
        <v>2080</v>
      </c>
      <c r="H1162" t="s">
        <v>1820</v>
      </c>
      <c r="I1162" t="s">
        <v>1820</v>
      </c>
      <c r="J1162" t="s">
        <v>37</v>
      </c>
      <c r="K1162">
        <v>206</v>
      </c>
      <c r="L1162">
        <v>8</v>
      </c>
      <c r="M1162">
        <v>208</v>
      </c>
      <c r="N1162">
        <v>4</v>
      </c>
      <c r="O1162" t="s">
        <v>1820</v>
      </c>
      <c r="P1162" t="s">
        <v>38</v>
      </c>
      <c r="Q1162">
        <v>0</v>
      </c>
      <c r="R1162">
        <v>6</v>
      </c>
      <c r="S1162" t="s">
        <v>2870</v>
      </c>
      <c r="T1162" t="s">
        <v>2215</v>
      </c>
      <c r="U1162" t="s">
        <v>455</v>
      </c>
      <c r="V1162" t="s">
        <v>2479</v>
      </c>
      <c r="W1162" t="s">
        <v>1283</v>
      </c>
      <c r="X1162" t="s">
        <v>2666</v>
      </c>
      <c r="Y1162" t="s">
        <v>45</v>
      </c>
      <c r="Z1162">
        <v>20</v>
      </c>
      <c r="AA1162">
        <v>6</v>
      </c>
      <c r="AB1162" t="s">
        <v>46</v>
      </c>
      <c r="AC1162" t="s">
        <v>47</v>
      </c>
      <c r="AD1162" t="s">
        <v>2871</v>
      </c>
      <c r="AE1162" t="s">
        <v>2872</v>
      </c>
    </row>
    <row r="1163" spans="1:31" x14ac:dyDescent="0.2">
      <c r="A1163" t="s">
        <v>31</v>
      </c>
      <c r="B1163">
        <v>2025</v>
      </c>
      <c r="C1163">
        <v>67</v>
      </c>
      <c r="D1163" s="1">
        <v>45802</v>
      </c>
      <c r="E1163" t="s">
        <v>458</v>
      </c>
      <c r="F1163" t="s">
        <v>2115</v>
      </c>
      <c r="G1163" t="s">
        <v>53</v>
      </c>
      <c r="H1163" t="s">
        <v>2214</v>
      </c>
      <c r="I1163" t="s">
        <v>53</v>
      </c>
      <c r="J1163" t="s">
        <v>54</v>
      </c>
      <c r="K1163">
        <v>230</v>
      </c>
      <c r="L1163">
        <v>5</v>
      </c>
      <c r="M1163">
        <v>147</v>
      </c>
      <c r="N1163">
        <v>10</v>
      </c>
      <c r="O1163" t="s">
        <v>53</v>
      </c>
      <c r="P1163" t="s">
        <v>38</v>
      </c>
      <c r="Q1163">
        <v>83</v>
      </c>
      <c r="R1163">
        <v>0</v>
      </c>
      <c r="S1163" t="s">
        <v>2873</v>
      </c>
      <c r="T1163" t="s">
        <v>1461</v>
      </c>
      <c r="U1163" t="s">
        <v>2805</v>
      </c>
      <c r="V1163" t="s">
        <v>463</v>
      </c>
      <c r="W1163" t="s">
        <v>989</v>
      </c>
      <c r="X1163" t="s">
        <v>2466</v>
      </c>
      <c r="Y1163" t="s">
        <v>45</v>
      </c>
      <c r="Z1163">
        <v>20</v>
      </c>
      <c r="AA1163">
        <v>6</v>
      </c>
      <c r="AB1163" t="s">
        <v>46</v>
      </c>
      <c r="AC1163" t="s">
        <v>47</v>
      </c>
      <c r="AD1163" t="s">
        <v>2874</v>
      </c>
      <c r="AE1163" t="s">
        <v>2875</v>
      </c>
    </row>
    <row r="1164" spans="1:31" x14ac:dyDescent="0.2">
      <c r="A1164" t="s">
        <v>31</v>
      </c>
      <c r="B1164">
        <v>2025</v>
      </c>
      <c r="C1164">
        <v>68</v>
      </c>
      <c r="D1164" s="1">
        <v>45802</v>
      </c>
      <c r="E1164" t="s">
        <v>63</v>
      </c>
      <c r="F1164" t="s">
        <v>2120</v>
      </c>
      <c r="G1164" t="s">
        <v>968</v>
      </c>
      <c r="H1164" t="s">
        <v>36</v>
      </c>
      <c r="I1164" t="s">
        <v>968</v>
      </c>
      <c r="J1164" t="s">
        <v>54</v>
      </c>
      <c r="K1164">
        <v>278</v>
      </c>
      <c r="L1164">
        <v>3</v>
      </c>
      <c r="M1164">
        <v>168</v>
      </c>
      <c r="N1164">
        <v>10</v>
      </c>
      <c r="O1164" t="s">
        <v>968</v>
      </c>
      <c r="P1164" t="s">
        <v>38</v>
      </c>
      <c r="Q1164">
        <v>110</v>
      </c>
      <c r="R1164">
        <v>0</v>
      </c>
      <c r="S1164" t="s">
        <v>2876</v>
      </c>
      <c r="T1164" t="s">
        <v>2849</v>
      </c>
      <c r="U1164" t="s">
        <v>2725</v>
      </c>
      <c r="V1164" t="s">
        <v>2636</v>
      </c>
      <c r="W1164" t="s">
        <v>1193</v>
      </c>
      <c r="X1164" t="s">
        <v>2810</v>
      </c>
      <c r="Y1164" t="s">
        <v>45</v>
      </c>
      <c r="Z1164">
        <v>20</v>
      </c>
      <c r="AA1164">
        <v>6</v>
      </c>
      <c r="AB1164" t="s">
        <v>46</v>
      </c>
      <c r="AC1164" t="s">
        <v>47</v>
      </c>
      <c r="AD1164" t="s">
        <v>2877</v>
      </c>
      <c r="AE1164" t="s">
        <v>2878</v>
      </c>
    </row>
    <row r="1165" spans="1:31" x14ac:dyDescent="0.2">
      <c r="A1165" t="s">
        <v>31</v>
      </c>
      <c r="B1165">
        <v>2025</v>
      </c>
      <c r="C1165">
        <v>69</v>
      </c>
      <c r="D1165" s="1">
        <v>45803</v>
      </c>
      <c r="E1165" t="s">
        <v>95</v>
      </c>
      <c r="F1165" t="s">
        <v>2445</v>
      </c>
      <c r="G1165" t="s">
        <v>87</v>
      </c>
      <c r="H1165" t="s">
        <v>2080</v>
      </c>
      <c r="I1165" t="s">
        <v>2080</v>
      </c>
      <c r="J1165" t="s">
        <v>37</v>
      </c>
      <c r="K1165">
        <v>184</v>
      </c>
      <c r="L1165">
        <v>7</v>
      </c>
      <c r="M1165">
        <v>187</v>
      </c>
      <c r="N1165">
        <v>3</v>
      </c>
      <c r="O1165" t="s">
        <v>2080</v>
      </c>
      <c r="P1165" t="s">
        <v>38</v>
      </c>
      <c r="Q1165">
        <v>0</v>
      </c>
      <c r="R1165">
        <v>7</v>
      </c>
      <c r="S1165" t="s">
        <v>2879</v>
      </c>
      <c r="T1165" t="s">
        <v>2215</v>
      </c>
      <c r="U1165" t="s">
        <v>1283</v>
      </c>
      <c r="V1165" t="s">
        <v>2479</v>
      </c>
      <c r="W1165" t="s">
        <v>455</v>
      </c>
      <c r="X1165" t="s">
        <v>2666</v>
      </c>
      <c r="Y1165" t="s">
        <v>45</v>
      </c>
      <c r="Z1165">
        <v>20</v>
      </c>
      <c r="AA1165">
        <v>6</v>
      </c>
      <c r="AB1165" t="s">
        <v>46</v>
      </c>
      <c r="AC1165" t="s">
        <v>47</v>
      </c>
      <c r="AD1165" t="s">
        <v>2880</v>
      </c>
      <c r="AE1165" t="s">
        <v>2881</v>
      </c>
    </row>
    <row r="1166" spans="1:31" x14ac:dyDescent="0.2">
      <c r="A1166" t="s">
        <v>31</v>
      </c>
      <c r="B1166">
        <v>2025</v>
      </c>
      <c r="C1166">
        <v>70</v>
      </c>
      <c r="D1166" s="1">
        <v>45804</v>
      </c>
      <c r="E1166" t="s">
        <v>2383</v>
      </c>
      <c r="F1166" t="s">
        <v>2384</v>
      </c>
      <c r="G1166" t="s">
        <v>2213</v>
      </c>
      <c r="H1166" t="s">
        <v>2562</v>
      </c>
      <c r="I1166" t="s">
        <v>2562</v>
      </c>
      <c r="J1166" t="s">
        <v>37</v>
      </c>
      <c r="K1166">
        <v>227</v>
      </c>
      <c r="L1166">
        <v>3</v>
      </c>
      <c r="M1166">
        <v>230</v>
      </c>
      <c r="N1166">
        <v>4</v>
      </c>
      <c r="O1166" t="s">
        <v>2562</v>
      </c>
      <c r="P1166" t="s">
        <v>38</v>
      </c>
      <c r="Q1166">
        <v>0</v>
      </c>
      <c r="R1166">
        <v>6</v>
      </c>
      <c r="S1166" t="s">
        <v>2882</v>
      </c>
      <c r="T1166" t="s">
        <v>2517</v>
      </c>
      <c r="U1166" t="s">
        <v>2143</v>
      </c>
      <c r="V1166" t="s">
        <v>939</v>
      </c>
      <c r="W1166" t="s">
        <v>1210</v>
      </c>
      <c r="X1166" t="s">
        <v>2642</v>
      </c>
      <c r="Y1166" t="s">
        <v>45</v>
      </c>
      <c r="Z1166">
        <v>20</v>
      </c>
      <c r="AA1166">
        <v>6</v>
      </c>
      <c r="AB1166" t="s">
        <v>46</v>
      </c>
      <c r="AC1166" t="s">
        <v>47</v>
      </c>
      <c r="AD1166" t="s">
        <v>2883</v>
      </c>
      <c r="AE1166" t="s">
        <v>2884</v>
      </c>
    </row>
    <row r="1167" spans="1:31" x14ac:dyDescent="0.2">
      <c r="A1167" t="s">
        <v>31</v>
      </c>
      <c r="B1167">
        <v>2025</v>
      </c>
      <c r="C1167" t="s">
        <v>256</v>
      </c>
      <c r="D1167" s="1">
        <v>45806</v>
      </c>
      <c r="E1167" t="s">
        <v>2885</v>
      </c>
      <c r="F1167" t="s">
        <v>2566</v>
      </c>
      <c r="G1167" t="s">
        <v>2080</v>
      </c>
      <c r="H1167" t="s">
        <v>2562</v>
      </c>
      <c r="I1167" t="s">
        <v>2562</v>
      </c>
      <c r="J1167" t="s">
        <v>37</v>
      </c>
      <c r="K1167">
        <v>101</v>
      </c>
      <c r="L1167">
        <v>10</v>
      </c>
      <c r="M1167">
        <v>106</v>
      </c>
      <c r="N1167">
        <v>2</v>
      </c>
      <c r="O1167" t="s">
        <v>2562</v>
      </c>
      <c r="P1167" t="s">
        <v>38</v>
      </c>
      <c r="Q1167">
        <v>0</v>
      </c>
      <c r="R1167">
        <v>8</v>
      </c>
      <c r="S1167" t="s">
        <v>2886</v>
      </c>
      <c r="T1167" t="s">
        <v>1553</v>
      </c>
      <c r="U1167" t="s">
        <v>2143</v>
      </c>
      <c r="V1167" t="s">
        <v>939</v>
      </c>
      <c r="W1167" t="s">
        <v>1193</v>
      </c>
      <c r="X1167" t="s">
        <v>1210</v>
      </c>
      <c r="Y1167" t="s">
        <v>45</v>
      </c>
      <c r="Z1167">
        <v>20</v>
      </c>
      <c r="AA1167">
        <v>6</v>
      </c>
      <c r="AB1167" t="s">
        <v>46</v>
      </c>
      <c r="AC1167" t="s">
        <v>47</v>
      </c>
      <c r="AD1167" t="s">
        <v>2887</v>
      </c>
      <c r="AE1167" t="s">
        <v>2888</v>
      </c>
    </row>
    <row r="1168" spans="1:31" x14ac:dyDescent="0.2">
      <c r="A1168" t="s">
        <v>31</v>
      </c>
      <c r="B1168">
        <v>2025</v>
      </c>
      <c r="C1168" t="s">
        <v>256</v>
      </c>
      <c r="D1168" s="1">
        <v>45807</v>
      </c>
      <c r="E1168" t="s">
        <v>2885</v>
      </c>
      <c r="F1168" t="s">
        <v>2889</v>
      </c>
      <c r="G1168" t="s">
        <v>87</v>
      </c>
      <c r="H1168" t="s">
        <v>2214</v>
      </c>
      <c r="I1168" t="s">
        <v>87</v>
      </c>
      <c r="J1168" t="s">
        <v>54</v>
      </c>
      <c r="K1168">
        <v>228</v>
      </c>
      <c r="L1168">
        <v>5</v>
      </c>
      <c r="M1168">
        <v>208</v>
      </c>
      <c r="N1168">
        <v>6</v>
      </c>
      <c r="O1168" t="s">
        <v>87</v>
      </c>
      <c r="P1168" t="s">
        <v>38</v>
      </c>
      <c r="Q1168">
        <v>20</v>
      </c>
      <c r="R1168">
        <v>0</v>
      </c>
      <c r="S1168" t="s">
        <v>369</v>
      </c>
      <c r="T1168" t="s">
        <v>1772</v>
      </c>
      <c r="U1168" t="s">
        <v>1193</v>
      </c>
      <c r="V1168" t="s">
        <v>1210</v>
      </c>
      <c r="W1168" t="s">
        <v>939</v>
      </c>
      <c r="X1168" t="s">
        <v>2219</v>
      </c>
      <c r="Y1168" t="s">
        <v>45</v>
      </c>
      <c r="Z1168">
        <v>20</v>
      </c>
      <c r="AA1168">
        <v>6</v>
      </c>
      <c r="AB1168" t="s">
        <v>46</v>
      </c>
      <c r="AC1168" t="s">
        <v>47</v>
      </c>
      <c r="AD1168" t="s">
        <v>2890</v>
      </c>
      <c r="AE1168" t="s">
        <v>2891</v>
      </c>
    </row>
    <row r="1169" spans="1:31" x14ac:dyDescent="0.2">
      <c r="A1169" t="s">
        <v>31</v>
      </c>
      <c r="B1169">
        <v>2025</v>
      </c>
      <c r="C1169" t="s">
        <v>256</v>
      </c>
      <c r="D1169" s="1">
        <v>45809</v>
      </c>
      <c r="E1169" t="s">
        <v>458</v>
      </c>
      <c r="F1169" t="s">
        <v>2115</v>
      </c>
      <c r="G1169" t="s">
        <v>87</v>
      </c>
      <c r="H1169" t="s">
        <v>2080</v>
      </c>
      <c r="I1169" t="s">
        <v>2080</v>
      </c>
      <c r="J1169" t="s">
        <v>37</v>
      </c>
      <c r="K1169">
        <v>203</v>
      </c>
      <c r="L1169">
        <v>6</v>
      </c>
      <c r="M1169">
        <v>207</v>
      </c>
      <c r="N1169">
        <v>5</v>
      </c>
      <c r="O1169" t="s">
        <v>2080</v>
      </c>
      <c r="P1169" t="s">
        <v>38</v>
      </c>
      <c r="Q1169">
        <v>0</v>
      </c>
      <c r="R1169">
        <v>5</v>
      </c>
      <c r="S1169" t="s">
        <v>1322</v>
      </c>
      <c r="T1169" t="s">
        <v>40</v>
      </c>
      <c r="U1169" t="s">
        <v>1283</v>
      </c>
      <c r="V1169" t="s">
        <v>989</v>
      </c>
      <c r="W1169" t="s">
        <v>463</v>
      </c>
      <c r="X1169" t="s">
        <v>455</v>
      </c>
      <c r="Y1169" t="s">
        <v>45</v>
      </c>
      <c r="Z1169">
        <v>20</v>
      </c>
      <c r="AA1169">
        <v>6</v>
      </c>
      <c r="AB1169" t="s">
        <v>46</v>
      </c>
      <c r="AC1169" t="s">
        <v>47</v>
      </c>
      <c r="AD1169" t="s">
        <v>2892</v>
      </c>
      <c r="AE1169" t="s">
        <v>2893</v>
      </c>
    </row>
    <row r="1170" spans="1:31" x14ac:dyDescent="0.2">
      <c r="A1170" t="s">
        <v>31</v>
      </c>
      <c r="B1170">
        <v>2025</v>
      </c>
      <c r="C1170" t="s">
        <v>256</v>
      </c>
      <c r="D1170" s="1">
        <v>45811</v>
      </c>
      <c r="E1170" t="s">
        <v>458</v>
      </c>
      <c r="F1170" t="s">
        <v>2115</v>
      </c>
      <c r="G1170" t="s">
        <v>2562</v>
      </c>
      <c r="H1170" t="s">
        <v>2080</v>
      </c>
      <c r="I1170" t="s">
        <v>2080</v>
      </c>
      <c r="J1170" t="s">
        <v>37</v>
      </c>
      <c r="K1170">
        <v>190</v>
      </c>
      <c r="L1170">
        <v>9</v>
      </c>
      <c r="M1170">
        <v>184</v>
      </c>
      <c r="N1170">
        <v>7</v>
      </c>
      <c r="O1170" t="s">
        <v>2562</v>
      </c>
      <c r="P1170" t="s">
        <v>38</v>
      </c>
      <c r="Q1170">
        <v>6</v>
      </c>
      <c r="R1170">
        <v>0</v>
      </c>
      <c r="S1170" t="s">
        <v>1503</v>
      </c>
      <c r="T1170" t="s">
        <v>40</v>
      </c>
      <c r="U1170" t="s">
        <v>455</v>
      </c>
      <c r="V1170" t="s">
        <v>989</v>
      </c>
      <c r="W1170" t="s">
        <v>1283</v>
      </c>
      <c r="X1170" t="s">
        <v>463</v>
      </c>
      <c r="Y1170" t="s">
        <v>45</v>
      </c>
      <c r="Z1170">
        <v>20</v>
      </c>
      <c r="AA1170">
        <v>6</v>
      </c>
      <c r="AB1170" t="s">
        <v>46</v>
      </c>
      <c r="AC1170" t="s">
        <v>47</v>
      </c>
      <c r="AD1170" t="s">
        <v>2888</v>
      </c>
      <c r="AE1170" t="s">
        <v>2894</v>
      </c>
    </row>
    <row r="1171" spans="1:31" x14ac:dyDescent="0.2">
      <c r="A1171" t="s">
        <v>31</v>
      </c>
      <c r="B1171">
        <v>2026</v>
      </c>
      <c r="C1171">
        <v>1</v>
      </c>
      <c r="D1171" s="1">
        <v>46109</v>
      </c>
      <c r="E1171" t="s">
        <v>1558</v>
      </c>
      <c r="F1171" t="s">
        <v>2393</v>
      </c>
      <c r="G1171" t="s">
        <v>968</v>
      </c>
      <c r="H1171" t="s">
        <v>2562</v>
      </c>
      <c r="I1171" t="s">
        <v>2562</v>
      </c>
      <c r="J1171" t="s">
        <v>37</v>
      </c>
      <c r="K1171">
        <v>201</v>
      </c>
      <c r="L1171">
        <v>9</v>
      </c>
      <c r="M1171">
        <v>203</v>
      </c>
      <c r="N1171">
        <v>4</v>
      </c>
      <c r="O1171" t="s">
        <v>2562</v>
      </c>
      <c r="P1171" t="s">
        <v>38</v>
      </c>
      <c r="Q1171">
        <v>0</v>
      </c>
      <c r="R1171">
        <v>6</v>
      </c>
      <c r="S1171" t="s">
        <v>2895</v>
      </c>
      <c r="T1171" t="s">
        <v>40</v>
      </c>
      <c r="U1171" t="s">
        <v>455</v>
      </c>
      <c r="V1171" t="s">
        <v>1210</v>
      </c>
      <c r="W1171" t="s">
        <v>1193</v>
      </c>
      <c r="X1171" t="s">
        <v>2375</v>
      </c>
      <c r="Y1171" t="s">
        <v>45</v>
      </c>
      <c r="Z1171">
        <v>20</v>
      </c>
      <c r="AA1171">
        <v>6</v>
      </c>
      <c r="AB1171" t="s">
        <v>46</v>
      </c>
      <c r="AC1171" t="s">
        <v>47</v>
      </c>
      <c r="AD1171" t="s">
        <v>2896</v>
      </c>
      <c r="AE1171" t="s">
        <v>2897</v>
      </c>
    </row>
    <row r="1172" spans="1:31" x14ac:dyDescent="0.2">
      <c r="A1172" t="s">
        <v>31</v>
      </c>
      <c r="B1172">
        <v>2026</v>
      </c>
      <c r="C1172">
        <v>2</v>
      </c>
      <c r="D1172" s="1">
        <v>46110</v>
      </c>
      <c r="E1172" t="s">
        <v>85</v>
      </c>
      <c r="F1172" t="s">
        <v>2075</v>
      </c>
      <c r="G1172" t="s">
        <v>36</v>
      </c>
      <c r="H1172" t="s">
        <v>87</v>
      </c>
      <c r="I1172" t="s">
        <v>87</v>
      </c>
      <c r="J1172" t="s">
        <v>37</v>
      </c>
      <c r="K1172">
        <v>220</v>
      </c>
      <c r="L1172">
        <v>4</v>
      </c>
      <c r="M1172">
        <v>224</v>
      </c>
      <c r="N1172">
        <v>4</v>
      </c>
      <c r="O1172" t="s">
        <v>87</v>
      </c>
      <c r="P1172" t="s">
        <v>38</v>
      </c>
      <c r="Q1172">
        <v>0</v>
      </c>
      <c r="R1172">
        <v>6</v>
      </c>
      <c r="S1172" t="s">
        <v>2354</v>
      </c>
      <c r="T1172" t="s">
        <v>1965</v>
      </c>
      <c r="U1172" t="s">
        <v>2771</v>
      </c>
      <c r="V1172" t="s">
        <v>2219</v>
      </c>
      <c r="W1172" t="s">
        <v>989</v>
      </c>
      <c r="X1172" t="s">
        <v>2233</v>
      </c>
      <c r="Y1172" t="s">
        <v>45</v>
      </c>
      <c r="Z1172">
        <v>20</v>
      </c>
      <c r="AA1172">
        <v>6</v>
      </c>
      <c r="AB1172" t="s">
        <v>46</v>
      </c>
      <c r="AC1172" t="s">
        <v>47</v>
      </c>
      <c r="AD1172" t="s">
        <v>2898</v>
      </c>
      <c r="AE1172" t="s">
        <v>2899</v>
      </c>
    </row>
    <row r="1173" spans="1:31" x14ac:dyDescent="0.2">
      <c r="A1173" t="s">
        <v>31</v>
      </c>
      <c r="B1173">
        <v>2026</v>
      </c>
      <c r="C1173">
        <v>3</v>
      </c>
      <c r="D1173" s="1">
        <v>46111</v>
      </c>
      <c r="E1173" t="s">
        <v>2401</v>
      </c>
      <c r="F1173" t="s">
        <v>2402</v>
      </c>
      <c r="G1173" t="s">
        <v>53</v>
      </c>
      <c r="H1173" t="s">
        <v>66</v>
      </c>
      <c r="I1173" t="s">
        <v>66</v>
      </c>
      <c r="J1173" t="s">
        <v>37</v>
      </c>
      <c r="K1173">
        <v>127</v>
      </c>
      <c r="L1173">
        <v>10</v>
      </c>
      <c r="M1173">
        <v>128</v>
      </c>
      <c r="N1173">
        <v>2</v>
      </c>
      <c r="O1173" t="s">
        <v>66</v>
      </c>
      <c r="P1173" t="s">
        <v>38</v>
      </c>
      <c r="Q1173">
        <v>0</v>
      </c>
      <c r="R1173">
        <v>8</v>
      </c>
      <c r="S1173" t="s">
        <v>2900</v>
      </c>
      <c r="T1173" t="s">
        <v>1553</v>
      </c>
      <c r="U1173" t="s">
        <v>312</v>
      </c>
      <c r="V1173" t="s">
        <v>2466</v>
      </c>
      <c r="W1173" t="s">
        <v>939</v>
      </c>
      <c r="X1173" t="s">
        <v>2642</v>
      </c>
      <c r="Y1173" t="s">
        <v>45</v>
      </c>
      <c r="Z1173">
        <v>20</v>
      </c>
      <c r="AA1173">
        <v>6</v>
      </c>
      <c r="AB1173" t="s">
        <v>46</v>
      </c>
      <c r="AC1173" t="s">
        <v>47</v>
      </c>
      <c r="AD1173" t="s">
        <v>2901</v>
      </c>
      <c r="AE1173" t="s">
        <v>2902</v>
      </c>
    </row>
    <row r="1174" spans="1:31" x14ac:dyDescent="0.2">
      <c r="A1174" t="s">
        <v>31</v>
      </c>
      <c r="B1174">
        <v>2026</v>
      </c>
      <c r="C1174">
        <v>4</v>
      </c>
      <c r="D1174" s="1">
        <v>46112</v>
      </c>
      <c r="E1174" t="s">
        <v>2885</v>
      </c>
      <c r="F1174" t="s">
        <v>2889</v>
      </c>
      <c r="G1174" t="s">
        <v>2214</v>
      </c>
      <c r="H1174" t="s">
        <v>2080</v>
      </c>
      <c r="I1174" t="s">
        <v>2080</v>
      </c>
      <c r="J1174" t="s">
        <v>37</v>
      </c>
      <c r="K1174">
        <v>162</v>
      </c>
      <c r="L1174">
        <v>6</v>
      </c>
      <c r="M1174">
        <v>165</v>
      </c>
      <c r="N1174">
        <v>7</v>
      </c>
      <c r="O1174" t="s">
        <v>2080</v>
      </c>
      <c r="P1174" t="s">
        <v>38</v>
      </c>
      <c r="Q1174">
        <v>0</v>
      </c>
      <c r="R1174">
        <v>3</v>
      </c>
      <c r="S1174" t="s">
        <v>2903</v>
      </c>
      <c r="T1174" t="s">
        <v>1772</v>
      </c>
      <c r="U1174" t="s">
        <v>2390</v>
      </c>
      <c r="V1174" t="s">
        <v>2228</v>
      </c>
      <c r="W1174" t="s">
        <v>463</v>
      </c>
      <c r="X1174" t="s">
        <v>2479</v>
      </c>
      <c r="Y1174" t="s">
        <v>45</v>
      </c>
      <c r="Z1174">
        <v>20</v>
      </c>
      <c r="AA1174">
        <v>6</v>
      </c>
      <c r="AB1174" t="s">
        <v>46</v>
      </c>
      <c r="AC1174" t="s">
        <v>47</v>
      </c>
      <c r="AD1174" t="s">
        <v>2904</v>
      </c>
      <c r="AE1174" t="s">
        <v>2905</v>
      </c>
    </row>
    <row r="1175" spans="1:31" x14ac:dyDescent="0.2">
      <c r="A1175" t="s">
        <v>31</v>
      </c>
      <c r="B1175">
        <v>2026</v>
      </c>
      <c r="C1175">
        <v>5</v>
      </c>
      <c r="D1175" s="1">
        <v>46113</v>
      </c>
      <c r="E1175" t="s">
        <v>2383</v>
      </c>
      <c r="F1175" t="s">
        <v>2384</v>
      </c>
      <c r="G1175" t="s">
        <v>2213</v>
      </c>
      <c r="H1175" t="s">
        <v>1820</v>
      </c>
      <c r="I1175" t="s">
        <v>1820</v>
      </c>
      <c r="J1175" t="s">
        <v>37</v>
      </c>
      <c r="K1175">
        <v>141</v>
      </c>
      <c r="L1175">
        <v>10</v>
      </c>
      <c r="M1175">
        <v>145</v>
      </c>
      <c r="N1175">
        <v>4</v>
      </c>
      <c r="O1175" t="s">
        <v>1820</v>
      </c>
      <c r="P1175" t="s">
        <v>38</v>
      </c>
      <c r="Q1175">
        <v>0</v>
      </c>
      <c r="R1175">
        <v>6</v>
      </c>
      <c r="S1175" t="s">
        <v>2870</v>
      </c>
      <c r="T1175" t="s">
        <v>40</v>
      </c>
      <c r="U1175" t="s">
        <v>1193</v>
      </c>
      <c r="V1175" t="s">
        <v>1210</v>
      </c>
      <c r="W1175" t="s">
        <v>455</v>
      </c>
      <c r="X1175" t="s">
        <v>2375</v>
      </c>
      <c r="Y1175" t="s">
        <v>45</v>
      </c>
      <c r="Z1175">
        <v>20</v>
      </c>
      <c r="AA1175">
        <v>6</v>
      </c>
      <c r="AB1175" t="s">
        <v>46</v>
      </c>
      <c r="AC1175" t="s">
        <v>47</v>
      </c>
      <c r="AD1175" t="s">
        <v>2906</v>
      </c>
      <c r="AE1175" t="s">
        <v>2907</v>
      </c>
    </row>
    <row r="1176" spans="1:31" x14ac:dyDescent="0.2">
      <c r="A1176" t="s">
        <v>31</v>
      </c>
      <c r="B1176">
        <v>2026</v>
      </c>
      <c r="C1176">
        <v>6</v>
      </c>
      <c r="D1176" s="1">
        <v>46114</v>
      </c>
      <c r="E1176" t="s">
        <v>75</v>
      </c>
      <c r="F1176" t="s">
        <v>2368</v>
      </c>
      <c r="G1176" t="s">
        <v>968</v>
      </c>
      <c r="H1176" t="s">
        <v>36</v>
      </c>
      <c r="I1176" t="s">
        <v>36</v>
      </c>
      <c r="J1176" t="s">
        <v>37</v>
      </c>
      <c r="K1176">
        <v>226</v>
      </c>
      <c r="L1176">
        <v>8</v>
      </c>
      <c r="M1176">
        <v>161</v>
      </c>
      <c r="N1176">
        <v>10</v>
      </c>
      <c r="O1176" t="s">
        <v>968</v>
      </c>
      <c r="P1176" t="s">
        <v>38</v>
      </c>
      <c r="Q1176">
        <v>65</v>
      </c>
      <c r="R1176">
        <v>0</v>
      </c>
      <c r="S1176" t="s">
        <v>2615</v>
      </c>
      <c r="T1176" t="s">
        <v>1965</v>
      </c>
      <c r="U1176" t="s">
        <v>2219</v>
      </c>
      <c r="V1176" t="s">
        <v>2233</v>
      </c>
      <c r="W1176" t="s">
        <v>989</v>
      </c>
      <c r="X1176" t="s">
        <v>2771</v>
      </c>
      <c r="Y1176" t="s">
        <v>45</v>
      </c>
      <c r="Z1176">
        <v>20</v>
      </c>
      <c r="AA1176">
        <v>6</v>
      </c>
      <c r="AB1176" t="s">
        <v>46</v>
      </c>
      <c r="AC1176" t="s">
        <v>47</v>
      </c>
      <c r="AD1176" t="s">
        <v>2908</v>
      </c>
      <c r="AE1176" t="s">
        <v>2909</v>
      </c>
    </row>
    <row r="1177" spans="1:31" x14ac:dyDescent="0.2">
      <c r="A1177" t="s">
        <v>31</v>
      </c>
      <c r="B1177">
        <v>2026</v>
      </c>
      <c r="C1177">
        <v>7</v>
      </c>
      <c r="D1177" s="1">
        <v>46115</v>
      </c>
      <c r="E1177" t="s">
        <v>108</v>
      </c>
      <c r="F1177" t="s">
        <v>2072</v>
      </c>
      <c r="G1177" t="s">
        <v>53</v>
      </c>
      <c r="H1177" t="s">
        <v>2080</v>
      </c>
      <c r="I1177" t="s">
        <v>2080</v>
      </c>
      <c r="J1177" t="s">
        <v>37</v>
      </c>
      <c r="K1177">
        <v>209</v>
      </c>
      <c r="L1177">
        <v>5</v>
      </c>
      <c r="M1177">
        <v>210</v>
      </c>
      <c r="N1177">
        <v>5</v>
      </c>
      <c r="O1177" t="s">
        <v>2080</v>
      </c>
      <c r="P1177" t="s">
        <v>38</v>
      </c>
      <c r="Q1177">
        <v>0</v>
      </c>
      <c r="R1177">
        <v>5</v>
      </c>
      <c r="S1177" t="s">
        <v>2774</v>
      </c>
      <c r="T1177" t="s">
        <v>1772</v>
      </c>
      <c r="U1177" t="s">
        <v>2390</v>
      </c>
      <c r="V1177" t="s">
        <v>2228</v>
      </c>
      <c r="W1177" t="s">
        <v>463</v>
      </c>
      <c r="X1177" t="s">
        <v>2479</v>
      </c>
      <c r="Y1177" t="s">
        <v>45</v>
      </c>
      <c r="Z1177">
        <v>20</v>
      </c>
      <c r="AA1177">
        <v>6</v>
      </c>
      <c r="AB1177" t="s">
        <v>46</v>
      </c>
      <c r="AC1177" t="s">
        <v>47</v>
      </c>
      <c r="AD1177" t="s">
        <v>2910</v>
      </c>
      <c r="AE1177" t="s">
        <v>2905</v>
      </c>
    </row>
    <row r="1178" spans="1:31" x14ac:dyDescent="0.2">
      <c r="A1178" t="s">
        <v>31</v>
      </c>
      <c r="B1178">
        <v>2026</v>
      </c>
      <c r="C1178">
        <v>8</v>
      </c>
      <c r="D1178" s="1">
        <v>46116</v>
      </c>
      <c r="E1178" t="s">
        <v>63</v>
      </c>
      <c r="F1178" t="s">
        <v>2120</v>
      </c>
      <c r="G1178" t="s">
        <v>87</v>
      </c>
      <c r="H1178" t="s">
        <v>1820</v>
      </c>
      <c r="I1178" t="s">
        <v>1820</v>
      </c>
      <c r="J1178" t="s">
        <v>37</v>
      </c>
      <c r="K1178">
        <v>162</v>
      </c>
      <c r="L1178">
        <v>6</v>
      </c>
      <c r="M1178">
        <v>164</v>
      </c>
      <c r="N1178">
        <v>4</v>
      </c>
      <c r="O1178" t="s">
        <v>1820</v>
      </c>
      <c r="P1178" t="s">
        <v>38</v>
      </c>
      <c r="Q1178">
        <v>0</v>
      </c>
      <c r="R1178">
        <v>6</v>
      </c>
      <c r="S1178" t="s">
        <v>2870</v>
      </c>
      <c r="T1178" t="s">
        <v>1553</v>
      </c>
      <c r="U1178" t="s">
        <v>312</v>
      </c>
      <c r="V1178" t="s">
        <v>2466</v>
      </c>
      <c r="W1178" t="s">
        <v>939</v>
      </c>
      <c r="X1178" t="s">
        <v>2642</v>
      </c>
      <c r="Y1178" t="s">
        <v>45</v>
      </c>
      <c r="Z1178">
        <v>20</v>
      </c>
      <c r="AA1178">
        <v>6</v>
      </c>
      <c r="AB1178" t="s">
        <v>46</v>
      </c>
      <c r="AC1178" t="s">
        <v>47</v>
      </c>
      <c r="AD1178" t="s">
        <v>2911</v>
      </c>
      <c r="AE1178" t="s">
        <v>2912</v>
      </c>
    </row>
    <row r="1179" spans="1:31" x14ac:dyDescent="0.2">
      <c r="A1179" t="s">
        <v>31</v>
      </c>
      <c r="B1179">
        <v>2026</v>
      </c>
      <c r="C1179">
        <v>9</v>
      </c>
      <c r="D1179" s="1">
        <v>46116</v>
      </c>
      <c r="E1179" t="s">
        <v>458</v>
      </c>
      <c r="F1179" t="s">
        <v>2115</v>
      </c>
      <c r="G1179" t="s">
        <v>66</v>
      </c>
      <c r="H1179" t="s">
        <v>2214</v>
      </c>
      <c r="I1179" t="s">
        <v>66</v>
      </c>
      <c r="J1179" t="s">
        <v>54</v>
      </c>
      <c r="K1179">
        <v>210</v>
      </c>
      <c r="L1179">
        <v>6</v>
      </c>
      <c r="M1179">
        <v>204</v>
      </c>
      <c r="N1179">
        <v>8</v>
      </c>
      <c r="O1179" t="s">
        <v>66</v>
      </c>
      <c r="P1179" t="s">
        <v>38</v>
      </c>
      <c r="Q1179">
        <v>6</v>
      </c>
      <c r="R1179">
        <v>0</v>
      </c>
      <c r="S1179" t="s">
        <v>2913</v>
      </c>
      <c r="T1179" t="s">
        <v>40</v>
      </c>
      <c r="U1179" t="s">
        <v>1193</v>
      </c>
      <c r="V1179" t="s">
        <v>1210</v>
      </c>
      <c r="W1179" t="s">
        <v>455</v>
      </c>
      <c r="X1179" t="s">
        <v>2375</v>
      </c>
      <c r="Y1179" t="s">
        <v>45</v>
      </c>
      <c r="Z1179">
        <v>20</v>
      </c>
      <c r="AA1179">
        <v>6</v>
      </c>
      <c r="AB1179" t="s">
        <v>46</v>
      </c>
      <c r="AC1179" t="s">
        <v>47</v>
      </c>
      <c r="AD1179" t="s">
        <v>2914</v>
      </c>
      <c r="AE1179" t="s">
        <v>2915</v>
      </c>
    </row>
    <row r="1180" spans="1:31" x14ac:dyDescent="0.2">
      <c r="A1180" t="s">
        <v>31</v>
      </c>
      <c r="B1180">
        <v>2026</v>
      </c>
      <c r="C1180">
        <v>10</v>
      </c>
      <c r="D1180" s="1">
        <v>46117</v>
      </c>
      <c r="E1180" t="s">
        <v>101</v>
      </c>
      <c r="F1180" t="s">
        <v>2389</v>
      </c>
      <c r="G1180" t="s">
        <v>968</v>
      </c>
      <c r="H1180" t="s">
        <v>2213</v>
      </c>
      <c r="I1180" t="s">
        <v>2213</v>
      </c>
      <c r="J1180" t="s">
        <v>37</v>
      </c>
      <c r="K1180">
        <v>156</v>
      </c>
      <c r="L1180">
        <v>9</v>
      </c>
      <c r="M1180">
        <v>160</v>
      </c>
      <c r="N1180">
        <v>5</v>
      </c>
      <c r="O1180" t="s">
        <v>2213</v>
      </c>
      <c r="P1180" t="s">
        <v>38</v>
      </c>
      <c r="Q1180">
        <v>0</v>
      </c>
      <c r="R1180">
        <v>5</v>
      </c>
      <c r="S1180" t="s">
        <v>1634</v>
      </c>
      <c r="T1180" t="s">
        <v>1965</v>
      </c>
      <c r="U1180" t="s">
        <v>2771</v>
      </c>
      <c r="V1180" t="s">
        <v>2219</v>
      </c>
      <c r="W1180" t="s">
        <v>989</v>
      </c>
      <c r="X1180" t="s">
        <v>2233</v>
      </c>
      <c r="Y1180" t="s">
        <v>45</v>
      </c>
      <c r="Z1180">
        <v>20</v>
      </c>
      <c r="AA1180">
        <v>6</v>
      </c>
      <c r="AB1180" t="s">
        <v>46</v>
      </c>
      <c r="AC1180" t="s">
        <v>47</v>
      </c>
      <c r="AD1180" t="s">
        <v>2916</v>
      </c>
      <c r="AE1180" t="s">
        <v>2917</v>
      </c>
    </row>
    <row r="1181" spans="1:31" x14ac:dyDescent="0.2">
      <c r="A1181" t="s">
        <v>31</v>
      </c>
      <c r="B1181">
        <v>2026</v>
      </c>
      <c r="C1181">
        <v>11</v>
      </c>
      <c r="D1181" s="1">
        <v>46117</v>
      </c>
      <c r="E1181" t="s">
        <v>1558</v>
      </c>
      <c r="F1181" t="s">
        <v>2393</v>
      </c>
      <c r="G1181" t="s">
        <v>2562</v>
      </c>
      <c r="H1181" t="s">
        <v>53</v>
      </c>
      <c r="I1181" t="s">
        <v>53</v>
      </c>
      <c r="J1181" t="s">
        <v>37</v>
      </c>
      <c r="K1181">
        <v>250</v>
      </c>
      <c r="L1181">
        <v>3</v>
      </c>
      <c r="M1181">
        <v>207</v>
      </c>
      <c r="N1181">
        <v>10</v>
      </c>
      <c r="O1181" t="s">
        <v>2562</v>
      </c>
      <c r="P1181" t="s">
        <v>38</v>
      </c>
      <c r="Q1181">
        <v>43</v>
      </c>
      <c r="R1181">
        <v>0</v>
      </c>
      <c r="S1181" t="s">
        <v>2325</v>
      </c>
      <c r="T1181" t="s">
        <v>1772</v>
      </c>
      <c r="U1181" t="s">
        <v>2228</v>
      </c>
      <c r="V1181" t="s">
        <v>463</v>
      </c>
      <c r="W1181" t="s">
        <v>2725</v>
      </c>
      <c r="X1181" t="s">
        <v>2390</v>
      </c>
      <c r="Y1181" t="s">
        <v>45</v>
      </c>
      <c r="Z1181">
        <v>20</v>
      </c>
      <c r="AA1181">
        <v>6</v>
      </c>
      <c r="AB1181" t="s">
        <v>46</v>
      </c>
      <c r="AC1181" t="s">
        <v>47</v>
      </c>
      <c r="AD1181" t="s">
        <v>2918</v>
      </c>
      <c r="AE1181" t="s">
        <v>2919</v>
      </c>
    </row>
    <row r="1182" spans="1:31" x14ac:dyDescent="0.2">
      <c r="A1182" t="s">
        <v>31</v>
      </c>
      <c r="B1182">
        <v>2026</v>
      </c>
      <c r="C1182">
        <v>12</v>
      </c>
      <c r="D1182" s="1">
        <v>46118</v>
      </c>
      <c r="E1182" t="s">
        <v>75</v>
      </c>
      <c r="F1182" t="s">
        <v>2368</v>
      </c>
      <c r="G1182" t="s">
        <v>36</v>
      </c>
      <c r="H1182" t="s">
        <v>2080</v>
      </c>
      <c r="I1182" t="s">
        <v>36</v>
      </c>
      <c r="J1182" t="s">
        <v>54</v>
      </c>
      <c r="K1182">
        <v>25</v>
      </c>
      <c r="L1182">
        <v>2</v>
      </c>
      <c r="M1182">
        <v>0</v>
      </c>
      <c r="N1182">
        <v>0</v>
      </c>
      <c r="O1182" t="s">
        <v>304</v>
      </c>
      <c r="P1182" t="s">
        <v>766</v>
      </c>
      <c r="Q1182">
        <v>0</v>
      </c>
      <c r="R1182">
        <v>0</v>
      </c>
      <c r="S1182" t="s">
        <v>304</v>
      </c>
      <c r="T1182" t="s">
        <v>40</v>
      </c>
      <c r="U1182" t="s">
        <v>2375</v>
      </c>
      <c r="V1182" t="s">
        <v>455</v>
      </c>
      <c r="W1182" t="s">
        <v>1193</v>
      </c>
      <c r="X1182" t="s">
        <v>1210</v>
      </c>
      <c r="Y1182" t="s">
        <v>45</v>
      </c>
      <c r="Z1182">
        <v>20</v>
      </c>
      <c r="AA1182">
        <v>6</v>
      </c>
      <c r="AB1182" t="s">
        <v>46</v>
      </c>
      <c r="AC1182" t="s">
        <v>47</v>
      </c>
      <c r="AD1182" t="s">
        <v>2920</v>
      </c>
      <c r="AE1182" t="s">
        <v>2921</v>
      </c>
    </row>
    <row r="1183" spans="1:31" x14ac:dyDescent="0.2">
      <c r="A1183" t="s">
        <v>31</v>
      </c>
      <c r="B1183">
        <v>2026</v>
      </c>
      <c r="C1183">
        <v>13</v>
      </c>
      <c r="D1183" s="1">
        <v>46119</v>
      </c>
      <c r="E1183" t="s">
        <v>2401</v>
      </c>
      <c r="F1183" t="s">
        <v>2402</v>
      </c>
      <c r="G1183" t="s">
        <v>66</v>
      </c>
      <c r="H1183" t="s">
        <v>87</v>
      </c>
      <c r="I1183" t="s">
        <v>87</v>
      </c>
      <c r="J1183" t="s">
        <v>37</v>
      </c>
      <c r="K1183">
        <v>150</v>
      </c>
      <c r="L1183">
        <v>3</v>
      </c>
      <c r="M1183">
        <v>123</v>
      </c>
      <c r="N1183">
        <v>9</v>
      </c>
      <c r="O1183" t="s">
        <v>66</v>
      </c>
      <c r="P1183" t="s">
        <v>38</v>
      </c>
      <c r="Q1183">
        <v>27</v>
      </c>
      <c r="R1183">
        <v>0</v>
      </c>
      <c r="S1183" t="s">
        <v>2328</v>
      </c>
      <c r="T1183" t="s">
        <v>1553</v>
      </c>
      <c r="U1183" t="s">
        <v>312</v>
      </c>
      <c r="V1183" t="s">
        <v>2466</v>
      </c>
      <c r="W1183" t="s">
        <v>939</v>
      </c>
      <c r="X1183" t="s">
        <v>2642</v>
      </c>
      <c r="Y1183" t="s">
        <v>45</v>
      </c>
      <c r="Z1183">
        <v>20</v>
      </c>
      <c r="AA1183">
        <v>6</v>
      </c>
      <c r="AB1183" t="s">
        <v>46</v>
      </c>
      <c r="AC1183" t="s">
        <v>47</v>
      </c>
      <c r="AD1183" t="s">
        <v>2922</v>
      </c>
      <c r="AE1183" t="s">
        <v>2923</v>
      </c>
    </row>
    <row r="1184" spans="1:31" x14ac:dyDescent="0.2">
      <c r="A1184" t="s">
        <v>31</v>
      </c>
      <c r="B1184">
        <v>2026</v>
      </c>
      <c r="C1184">
        <v>14</v>
      </c>
      <c r="D1184" s="1">
        <v>46120</v>
      </c>
      <c r="E1184" t="s">
        <v>63</v>
      </c>
      <c r="F1184" t="s">
        <v>2120</v>
      </c>
      <c r="G1184" t="s">
        <v>2214</v>
      </c>
      <c r="H1184" t="s">
        <v>1820</v>
      </c>
      <c r="I1184" t="s">
        <v>1820</v>
      </c>
      <c r="J1184" t="s">
        <v>37</v>
      </c>
      <c r="K1184">
        <v>210</v>
      </c>
      <c r="L1184">
        <v>4</v>
      </c>
      <c r="M1184">
        <v>209</v>
      </c>
      <c r="N1184">
        <v>8</v>
      </c>
      <c r="O1184" t="s">
        <v>2214</v>
      </c>
      <c r="P1184" t="s">
        <v>38</v>
      </c>
      <c r="Q1184">
        <v>1</v>
      </c>
      <c r="R1184">
        <v>0</v>
      </c>
      <c r="S1184" t="s">
        <v>1562</v>
      </c>
      <c r="T1184" t="s">
        <v>1965</v>
      </c>
      <c r="U1184" t="s">
        <v>2771</v>
      </c>
      <c r="V1184" t="s">
        <v>989</v>
      </c>
      <c r="W1184" t="s">
        <v>2219</v>
      </c>
      <c r="X1184" t="s">
        <v>2233</v>
      </c>
      <c r="Y1184" t="s">
        <v>45</v>
      </c>
      <c r="Z1184">
        <v>20</v>
      </c>
      <c r="AA1184">
        <v>6</v>
      </c>
      <c r="AB1184" t="s">
        <v>46</v>
      </c>
      <c r="AC1184" t="s">
        <v>47</v>
      </c>
      <c r="AD1184" t="s">
        <v>2924</v>
      </c>
      <c r="AE1184" t="s">
        <v>2925</v>
      </c>
    </row>
    <row r="1185" spans="1:31" x14ac:dyDescent="0.2">
      <c r="A1185" t="s">
        <v>31</v>
      </c>
      <c r="B1185">
        <v>2026</v>
      </c>
      <c r="C1185">
        <v>15</v>
      </c>
      <c r="D1185" s="1">
        <v>46121</v>
      </c>
      <c r="E1185" t="s">
        <v>75</v>
      </c>
      <c r="F1185" t="s">
        <v>2368</v>
      </c>
      <c r="G1185" t="s">
        <v>36</v>
      </c>
      <c r="H1185" t="s">
        <v>2213</v>
      </c>
      <c r="I1185" t="s">
        <v>2213</v>
      </c>
      <c r="J1185" t="s">
        <v>37</v>
      </c>
      <c r="K1185">
        <v>181</v>
      </c>
      <c r="L1185">
        <v>4</v>
      </c>
      <c r="M1185">
        <v>182</v>
      </c>
      <c r="N1185">
        <v>7</v>
      </c>
      <c r="O1185" t="s">
        <v>2213</v>
      </c>
      <c r="P1185" t="s">
        <v>38</v>
      </c>
      <c r="Q1185">
        <v>0</v>
      </c>
      <c r="R1185">
        <v>3</v>
      </c>
      <c r="S1185" t="s">
        <v>2926</v>
      </c>
      <c r="T1185" t="s">
        <v>1772</v>
      </c>
      <c r="U1185" t="s">
        <v>2725</v>
      </c>
      <c r="V1185" t="s">
        <v>2228</v>
      </c>
      <c r="W1185" t="s">
        <v>463</v>
      </c>
      <c r="X1185" t="s">
        <v>2390</v>
      </c>
      <c r="Y1185" t="s">
        <v>45</v>
      </c>
      <c r="Z1185">
        <v>20</v>
      </c>
      <c r="AA1185">
        <v>6</v>
      </c>
      <c r="AB1185" t="s">
        <v>46</v>
      </c>
      <c r="AC1185" t="s">
        <v>47</v>
      </c>
      <c r="AD1185" t="s">
        <v>2927</v>
      </c>
      <c r="AE1185" t="s">
        <v>2928</v>
      </c>
    </row>
    <row r="1186" spans="1:31" x14ac:dyDescent="0.2">
      <c r="A1186" t="s">
        <v>31</v>
      </c>
      <c r="B1186">
        <v>2026</v>
      </c>
      <c r="C1186">
        <v>16</v>
      </c>
      <c r="D1186" s="1">
        <v>46122</v>
      </c>
      <c r="E1186" t="s">
        <v>2401</v>
      </c>
      <c r="F1186" t="s">
        <v>2402</v>
      </c>
      <c r="G1186" t="s">
        <v>2562</v>
      </c>
      <c r="H1186" t="s">
        <v>66</v>
      </c>
      <c r="I1186" t="s">
        <v>66</v>
      </c>
      <c r="J1186" t="s">
        <v>37</v>
      </c>
      <c r="K1186">
        <v>201</v>
      </c>
      <c r="L1186">
        <v>8</v>
      </c>
      <c r="M1186">
        <v>202</v>
      </c>
      <c r="N1186">
        <v>4</v>
      </c>
      <c r="O1186" t="s">
        <v>66</v>
      </c>
      <c r="P1186" t="s">
        <v>38</v>
      </c>
      <c r="Q1186">
        <v>0</v>
      </c>
      <c r="R1186">
        <v>6</v>
      </c>
      <c r="S1186" t="s">
        <v>2829</v>
      </c>
      <c r="T1186" t="s">
        <v>1553</v>
      </c>
      <c r="U1186" t="s">
        <v>2642</v>
      </c>
      <c r="V1186" t="s">
        <v>312</v>
      </c>
      <c r="W1186" t="s">
        <v>939</v>
      </c>
      <c r="X1186" t="s">
        <v>2466</v>
      </c>
      <c r="Y1186" t="s">
        <v>45</v>
      </c>
      <c r="Z1186">
        <v>20</v>
      </c>
      <c r="AA1186">
        <v>6</v>
      </c>
      <c r="AB1186" t="s">
        <v>46</v>
      </c>
      <c r="AC1186" t="s">
        <v>47</v>
      </c>
      <c r="AD1186" t="s">
        <v>2929</v>
      </c>
      <c r="AE1186" t="s">
        <v>2930</v>
      </c>
    </row>
    <row r="1187" spans="1:31" x14ac:dyDescent="0.2">
      <c r="A1187" t="s">
        <v>31</v>
      </c>
      <c r="B1187">
        <v>2026</v>
      </c>
      <c r="C1187">
        <v>17</v>
      </c>
      <c r="D1187" s="1">
        <v>46123</v>
      </c>
      <c r="E1187" t="s">
        <v>2885</v>
      </c>
      <c r="F1187" t="s">
        <v>2889</v>
      </c>
      <c r="G1187" t="s">
        <v>968</v>
      </c>
      <c r="H1187" t="s">
        <v>2080</v>
      </c>
      <c r="I1187" t="s">
        <v>2080</v>
      </c>
      <c r="J1187" t="s">
        <v>37</v>
      </c>
      <c r="K1187">
        <v>219</v>
      </c>
      <c r="L1187">
        <v>6</v>
      </c>
      <c r="M1187">
        <v>223</v>
      </c>
      <c r="N1187">
        <v>4</v>
      </c>
      <c r="O1187" t="s">
        <v>2080</v>
      </c>
      <c r="P1187" t="s">
        <v>38</v>
      </c>
      <c r="Q1187">
        <v>0</v>
      </c>
      <c r="R1187">
        <v>6</v>
      </c>
      <c r="S1187" t="s">
        <v>1322</v>
      </c>
      <c r="T1187" t="s">
        <v>40</v>
      </c>
      <c r="U1187" t="s">
        <v>2375</v>
      </c>
      <c r="V1187" t="s">
        <v>1193</v>
      </c>
      <c r="W1187" t="s">
        <v>455</v>
      </c>
      <c r="X1187" t="s">
        <v>1210</v>
      </c>
      <c r="Y1187" t="s">
        <v>45</v>
      </c>
      <c r="Z1187">
        <v>20</v>
      </c>
      <c r="AA1187">
        <v>6</v>
      </c>
      <c r="AB1187" t="s">
        <v>46</v>
      </c>
      <c r="AC1187" t="s">
        <v>47</v>
      </c>
      <c r="AD1187" t="s">
        <v>2931</v>
      </c>
      <c r="AE1187" t="s">
        <v>2905</v>
      </c>
    </row>
    <row r="1188" spans="1:31" x14ac:dyDescent="0.2">
      <c r="A1188" t="s">
        <v>31</v>
      </c>
      <c r="B1188">
        <v>2026</v>
      </c>
      <c r="C1188">
        <v>18</v>
      </c>
      <c r="D1188" s="1">
        <v>46123</v>
      </c>
      <c r="E1188" t="s">
        <v>108</v>
      </c>
      <c r="F1188" t="s">
        <v>2072</v>
      </c>
      <c r="G1188" t="s">
        <v>53</v>
      </c>
      <c r="H1188" t="s">
        <v>1820</v>
      </c>
      <c r="I1188" t="s">
        <v>1820</v>
      </c>
      <c r="J1188" t="s">
        <v>37</v>
      </c>
      <c r="K1188">
        <v>212</v>
      </c>
      <c r="L1188">
        <v>2</v>
      </c>
      <c r="M1188">
        <v>189</v>
      </c>
      <c r="N1188">
        <v>10</v>
      </c>
      <c r="O1188" t="s">
        <v>53</v>
      </c>
      <c r="P1188" t="s">
        <v>38</v>
      </c>
      <c r="Q1188">
        <v>23</v>
      </c>
      <c r="R1188">
        <v>0</v>
      </c>
      <c r="S1188" t="s">
        <v>1055</v>
      </c>
      <c r="T1188" t="s">
        <v>1965</v>
      </c>
      <c r="U1188" t="s">
        <v>2219</v>
      </c>
      <c r="V1188" t="s">
        <v>2233</v>
      </c>
      <c r="W1188" t="s">
        <v>989</v>
      </c>
      <c r="X1188" t="s">
        <v>2771</v>
      </c>
      <c r="Y1188" t="s">
        <v>45</v>
      </c>
      <c r="Z1188">
        <v>20</v>
      </c>
      <c r="AA1188">
        <v>6</v>
      </c>
      <c r="AB1188" t="s">
        <v>46</v>
      </c>
      <c r="AC1188" t="s">
        <v>47</v>
      </c>
      <c r="AD1188" t="s">
        <v>2932</v>
      </c>
      <c r="AE1188" t="s">
        <v>2933</v>
      </c>
    </row>
    <row r="1189" spans="1:31" x14ac:dyDescent="0.2">
      <c r="A1189" t="s">
        <v>31</v>
      </c>
      <c r="B1189">
        <v>2026</v>
      </c>
      <c r="C1189">
        <v>19</v>
      </c>
      <c r="D1189" s="1">
        <v>46124</v>
      </c>
      <c r="E1189" t="s">
        <v>2383</v>
      </c>
      <c r="F1189" t="s">
        <v>2384</v>
      </c>
      <c r="G1189" t="s">
        <v>2213</v>
      </c>
      <c r="H1189" t="s">
        <v>2214</v>
      </c>
      <c r="I1189" t="s">
        <v>2214</v>
      </c>
      <c r="J1189" t="s">
        <v>37</v>
      </c>
      <c r="K1189">
        <v>164</v>
      </c>
      <c r="L1189">
        <v>8</v>
      </c>
      <c r="M1189">
        <v>165</v>
      </c>
      <c r="N1189">
        <v>3</v>
      </c>
      <c r="O1189" t="s">
        <v>2214</v>
      </c>
      <c r="P1189" t="s">
        <v>38</v>
      </c>
      <c r="Q1189">
        <v>0</v>
      </c>
      <c r="R1189">
        <v>7</v>
      </c>
      <c r="S1189" t="s">
        <v>2743</v>
      </c>
      <c r="T1189" t="s">
        <v>1772</v>
      </c>
      <c r="U1189" t="s">
        <v>2390</v>
      </c>
      <c r="V1189" t="s">
        <v>463</v>
      </c>
      <c r="W1189" t="s">
        <v>2725</v>
      </c>
      <c r="X1189" t="s">
        <v>2228</v>
      </c>
      <c r="Y1189" t="s">
        <v>45</v>
      </c>
      <c r="Z1189">
        <v>20</v>
      </c>
      <c r="AA1189">
        <v>6</v>
      </c>
      <c r="AB1189" t="s">
        <v>46</v>
      </c>
      <c r="AC1189" t="s">
        <v>47</v>
      </c>
      <c r="AD1189" t="s">
        <v>2934</v>
      </c>
      <c r="AE1189" t="s">
        <v>2935</v>
      </c>
    </row>
    <row r="1190" spans="1:31" x14ac:dyDescent="0.2">
      <c r="A1190" t="s">
        <v>31</v>
      </c>
      <c r="B1190">
        <v>2026</v>
      </c>
      <c r="C1190">
        <v>20</v>
      </c>
      <c r="D1190" s="1">
        <v>46124</v>
      </c>
      <c r="E1190" t="s">
        <v>85</v>
      </c>
      <c r="F1190" t="s">
        <v>2075</v>
      </c>
      <c r="G1190" t="s">
        <v>2562</v>
      </c>
      <c r="H1190" t="s">
        <v>87</v>
      </c>
      <c r="I1190" t="s">
        <v>87</v>
      </c>
      <c r="J1190" t="s">
        <v>37</v>
      </c>
      <c r="K1190">
        <v>240</v>
      </c>
      <c r="L1190">
        <v>4</v>
      </c>
      <c r="M1190">
        <v>222</v>
      </c>
      <c r="N1190">
        <v>6</v>
      </c>
      <c r="O1190" t="s">
        <v>2562</v>
      </c>
      <c r="P1190" t="s">
        <v>38</v>
      </c>
      <c r="Q1190">
        <v>18</v>
      </c>
      <c r="R1190">
        <v>0</v>
      </c>
      <c r="S1190" t="s">
        <v>2501</v>
      </c>
      <c r="T1190" t="s">
        <v>1553</v>
      </c>
      <c r="U1190" t="s">
        <v>2642</v>
      </c>
      <c r="V1190" t="s">
        <v>939</v>
      </c>
      <c r="W1190" t="s">
        <v>312</v>
      </c>
      <c r="X1190" t="s">
        <v>2466</v>
      </c>
      <c r="Y1190" t="s">
        <v>45</v>
      </c>
      <c r="Z1190">
        <v>20</v>
      </c>
      <c r="AA1190">
        <v>6</v>
      </c>
      <c r="AB1190" t="s">
        <v>46</v>
      </c>
      <c r="AC1190" t="s">
        <v>47</v>
      </c>
      <c r="AD1190" t="s">
        <v>2936</v>
      </c>
      <c r="AE1190" t="s">
        <v>2937</v>
      </c>
    </row>
    <row r="1191" spans="1:31" x14ac:dyDescent="0.2">
      <c r="A1191" t="s">
        <v>31</v>
      </c>
      <c r="B1191">
        <v>2026</v>
      </c>
      <c r="C1191">
        <v>21</v>
      </c>
      <c r="D1191" s="1">
        <v>46125</v>
      </c>
      <c r="E1191" t="s">
        <v>101</v>
      </c>
      <c r="F1191" t="s">
        <v>2389</v>
      </c>
      <c r="G1191" t="s">
        <v>968</v>
      </c>
      <c r="H1191" t="s">
        <v>66</v>
      </c>
      <c r="I1191" t="s">
        <v>66</v>
      </c>
      <c r="J1191" t="s">
        <v>37</v>
      </c>
      <c r="K1191">
        <v>216</v>
      </c>
      <c r="L1191">
        <v>6</v>
      </c>
      <c r="M1191">
        <v>159</v>
      </c>
      <c r="N1191">
        <v>10</v>
      </c>
      <c r="O1191" t="s">
        <v>968</v>
      </c>
      <c r="P1191" t="s">
        <v>38</v>
      </c>
      <c r="Q1191">
        <v>57</v>
      </c>
      <c r="R1191">
        <v>0</v>
      </c>
      <c r="S1191" t="s">
        <v>2938</v>
      </c>
      <c r="T1191" t="s">
        <v>40</v>
      </c>
      <c r="U1191" t="s">
        <v>455</v>
      </c>
      <c r="V1191" t="s">
        <v>1193</v>
      </c>
      <c r="W1191" t="s">
        <v>2375</v>
      </c>
      <c r="X1191" t="s">
        <v>1210</v>
      </c>
      <c r="Y1191" t="s">
        <v>45</v>
      </c>
      <c r="Z1191">
        <v>20</v>
      </c>
      <c r="AA1191">
        <v>6</v>
      </c>
      <c r="AB1191" t="s">
        <v>46</v>
      </c>
      <c r="AC1191" t="s">
        <v>47</v>
      </c>
      <c r="AD1191" t="s">
        <v>2939</v>
      </c>
      <c r="AE1191" t="s">
        <v>2940</v>
      </c>
    </row>
    <row r="1192" spans="1:31" x14ac:dyDescent="0.2">
      <c r="A1192" t="s">
        <v>31</v>
      </c>
      <c r="B1192">
        <v>2026</v>
      </c>
      <c r="C1192">
        <v>22</v>
      </c>
      <c r="D1192" s="1">
        <v>46126</v>
      </c>
      <c r="E1192" t="s">
        <v>108</v>
      </c>
      <c r="F1192" t="s">
        <v>2072</v>
      </c>
      <c r="G1192" t="s">
        <v>53</v>
      </c>
      <c r="H1192" t="s">
        <v>36</v>
      </c>
      <c r="I1192" t="s">
        <v>36</v>
      </c>
      <c r="J1192" t="s">
        <v>37</v>
      </c>
      <c r="K1192">
        <v>192</v>
      </c>
      <c r="L1192">
        <v>5</v>
      </c>
      <c r="M1192">
        <v>160</v>
      </c>
      <c r="N1192">
        <v>7</v>
      </c>
      <c r="O1192" t="s">
        <v>53</v>
      </c>
      <c r="P1192" t="s">
        <v>38</v>
      </c>
      <c r="Q1192">
        <v>32</v>
      </c>
      <c r="R1192">
        <v>0</v>
      </c>
      <c r="S1192" t="s">
        <v>2728</v>
      </c>
      <c r="T1192" t="s">
        <v>1965</v>
      </c>
      <c r="U1192" t="s">
        <v>989</v>
      </c>
      <c r="V1192" t="s">
        <v>2219</v>
      </c>
      <c r="W1192" t="s">
        <v>2233</v>
      </c>
      <c r="X1192" t="s">
        <v>2771</v>
      </c>
      <c r="Y1192" t="s">
        <v>45</v>
      </c>
      <c r="Z1192">
        <v>20</v>
      </c>
      <c r="AA1192">
        <v>6</v>
      </c>
      <c r="AB1192" t="s">
        <v>46</v>
      </c>
      <c r="AC1192" t="s">
        <v>47</v>
      </c>
      <c r="AD1192" t="s">
        <v>2941</v>
      </c>
      <c r="AE1192" t="s">
        <v>2942</v>
      </c>
    </row>
    <row r="1193" spans="1:31" x14ac:dyDescent="0.2">
      <c r="A1193" t="s">
        <v>31</v>
      </c>
      <c r="B1193">
        <v>2026</v>
      </c>
      <c r="C1193">
        <v>23</v>
      </c>
      <c r="D1193" s="1">
        <v>46127</v>
      </c>
      <c r="E1193" t="s">
        <v>1558</v>
      </c>
      <c r="F1193" t="s">
        <v>2393</v>
      </c>
      <c r="G1193" t="s">
        <v>2213</v>
      </c>
      <c r="H1193" t="s">
        <v>2562</v>
      </c>
      <c r="I1193" t="s">
        <v>2562</v>
      </c>
      <c r="J1193" t="s">
        <v>37</v>
      </c>
      <c r="K1193">
        <v>146</v>
      </c>
      <c r="L1193">
        <v>10</v>
      </c>
      <c r="M1193">
        <v>149</v>
      </c>
      <c r="N1193">
        <v>5</v>
      </c>
      <c r="O1193" t="s">
        <v>2562</v>
      </c>
      <c r="P1193" t="s">
        <v>38</v>
      </c>
      <c r="Q1193">
        <v>0</v>
      </c>
      <c r="R1193">
        <v>5</v>
      </c>
      <c r="S1193" t="s">
        <v>2167</v>
      </c>
      <c r="T1193" t="s">
        <v>1772</v>
      </c>
      <c r="U1193" t="s">
        <v>2725</v>
      </c>
      <c r="V1193" t="s">
        <v>2666</v>
      </c>
      <c r="W1193" t="s">
        <v>463</v>
      </c>
      <c r="X1193" t="s">
        <v>2390</v>
      </c>
      <c r="Y1193" t="s">
        <v>45</v>
      </c>
      <c r="Z1193">
        <v>20</v>
      </c>
      <c r="AA1193">
        <v>6</v>
      </c>
      <c r="AB1193" t="s">
        <v>46</v>
      </c>
      <c r="AC1193" t="s">
        <v>47</v>
      </c>
      <c r="AD1193" t="s">
        <v>2943</v>
      </c>
      <c r="AE1193" t="s">
        <v>2944</v>
      </c>
    </row>
    <row r="1194" spans="1:31" x14ac:dyDescent="0.2">
      <c r="A1194" t="s">
        <v>31</v>
      </c>
      <c r="B1194">
        <v>2026</v>
      </c>
      <c r="C1194">
        <v>24</v>
      </c>
      <c r="D1194" s="1">
        <v>46128</v>
      </c>
      <c r="E1194" t="s">
        <v>85</v>
      </c>
      <c r="F1194" t="s">
        <v>2075</v>
      </c>
      <c r="G1194" t="s">
        <v>87</v>
      </c>
      <c r="H1194" t="s">
        <v>2080</v>
      </c>
      <c r="I1194" t="s">
        <v>2080</v>
      </c>
      <c r="J1194" t="s">
        <v>37</v>
      </c>
      <c r="K1194">
        <v>195</v>
      </c>
      <c r="L1194">
        <v>6</v>
      </c>
      <c r="M1194">
        <v>198</v>
      </c>
      <c r="N1194">
        <v>3</v>
      </c>
      <c r="O1194" t="s">
        <v>2080</v>
      </c>
      <c r="P1194" t="s">
        <v>38</v>
      </c>
      <c r="Q1194">
        <v>0</v>
      </c>
      <c r="R1194">
        <v>7</v>
      </c>
      <c r="S1194" t="s">
        <v>2379</v>
      </c>
      <c r="T1194" t="s">
        <v>1553</v>
      </c>
      <c r="U1194" t="s">
        <v>312</v>
      </c>
      <c r="V1194" t="s">
        <v>2466</v>
      </c>
      <c r="W1194" t="s">
        <v>939</v>
      </c>
      <c r="X1194" t="s">
        <v>1728</v>
      </c>
      <c r="Y1194" t="s">
        <v>45</v>
      </c>
      <c r="Z1194">
        <v>20</v>
      </c>
      <c r="AA1194">
        <v>6</v>
      </c>
      <c r="AB1194" t="s">
        <v>46</v>
      </c>
      <c r="AC1194" t="s">
        <v>47</v>
      </c>
      <c r="AD1194" t="s">
        <v>2945</v>
      </c>
      <c r="AE1194" t="s">
        <v>2946</v>
      </c>
    </row>
    <row r="1195" spans="1:31" x14ac:dyDescent="0.2">
      <c r="A1195" t="s">
        <v>31</v>
      </c>
      <c r="B1195">
        <v>2026</v>
      </c>
      <c r="C1195">
        <v>25</v>
      </c>
      <c r="D1195" s="1">
        <v>46129</v>
      </c>
      <c r="E1195" t="s">
        <v>458</v>
      </c>
      <c r="F1195" t="s">
        <v>2115</v>
      </c>
      <c r="G1195" t="s">
        <v>36</v>
      </c>
      <c r="H1195" t="s">
        <v>2214</v>
      </c>
      <c r="I1195" t="s">
        <v>36</v>
      </c>
      <c r="J1195" t="s">
        <v>54</v>
      </c>
      <c r="K1195">
        <v>180</v>
      </c>
      <c r="L1195">
        <v>10</v>
      </c>
      <c r="M1195">
        <v>181</v>
      </c>
      <c r="N1195">
        <v>5</v>
      </c>
      <c r="O1195" t="s">
        <v>2214</v>
      </c>
      <c r="P1195" t="s">
        <v>38</v>
      </c>
      <c r="Q1195">
        <v>0</v>
      </c>
      <c r="R1195">
        <v>5</v>
      </c>
      <c r="S1195" t="s">
        <v>1930</v>
      </c>
      <c r="T1195" t="s">
        <v>40</v>
      </c>
      <c r="U1195" t="s">
        <v>1193</v>
      </c>
      <c r="V1195" t="s">
        <v>1210</v>
      </c>
      <c r="W1195" t="s">
        <v>455</v>
      </c>
      <c r="X1195" t="s">
        <v>2636</v>
      </c>
      <c r="Y1195" t="s">
        <v>45</v>
      </c>
      <c r="Z1195">
        <v>20</v>
      </c>
      <c r="AA1195">
        <v>6</v>
      </c>
      <c r="AB1195" t="s">
        <v>46</v>
      </c>
      <c r="AC1195" t="s">
        <v>47</v>
      </c>
      <c r="AD1195" t="s">
        <v>2947</v>
      </c>
      <c r="AE1195" t="s">
        <v>2948</v>
      </c>
    </row>
    <row r="1196" spans="1:31" x14ac:dyDescent="0.2">
      <c r="A1196" t="s">
        <v>31</v>
      </c>
      <c r="B1196">
        <v>2026</v>
      </c>
      <c r="C1196">
        <v>26</v>
      </c>
      <c r="D1196" s="1">
        <v>46130</v>
      </c>
      <c r="E1196" t="s">
        <v>1558</v>
      </c>
      <c r="F1196" t="s">
        <v>2393</v>
      </c>
      <c r="G1196" t="s">
        <v>2562</v>
      </c>
      <c r="H1196" t="s">
        <v>1820</v>
      </c>
      <c r="I1196" t="s">
        <v>1820</v>
      </c>
      <c r="J1196" t="s">
        <v>37</v>
      </c>
      <c r="K1196">
        <v>175</v>
      </c>
      <c r="L1196">
        <v>8</v>
      </c>
      <c r="M1196">
        <v>179</v>
      </c>
      <c r="N1196">
        <v>5</v>
      </c>
      <c r="O1196" t="s">
        <v>1820</v>
      </c>
      <c r="P1196" t="s">
        <v>38</v>
      </c>
      <c r="Q1196">
        <v>0</v>
      </c>
      <c r="R1196">
        <v>6</v>
      </c>
      <c r="S1196" t="s">
        <v>2949</v>
      </c>
      <c r="T1196" t="s">
        <v>1772</v>
      </c>
      <c r="U1196" t="s">
        <v>2390</v>
      </c>
      <c r="V1196" t="s">
        <v>2666</v>
      </c>
      <c r="W1196" t="s">
        <v>463</v>
      </c>
      <c r="X1196" t="s">
        <v>2228</v>
      </c>
      <c r="Y1196" t="s">
        <v>45</v>
      </c>
      <c r="Z1196">
        <v>20</v>
      </c>
      <c r="AA1196">
        <v>6</v>
      </c>
      <c r="AB1196" t="s">
        <v>46</v>
      </c>
      <c r="AC1196" t="s">
        <v>47</v>
      </c>
      <c r="AD1196" t="s">
        <v>2950</v>
      </c>
      <c r="AE1196" t="s">
        <v>2951</v>
      </c>
    </row>
    <row r="1197" spans="1:31" x14ac:dyDescent="0.2">
      <c r="A1197" t="s">
        <v>31</v>
      </c>
      <c r="B1197">
        <v>2026</v>
      </c>
      <c r="C1197">
        <v>27</v>
      </c>
      <c r="D1197" s="1">
        <v>46130</v>
      </c>
      <c r="E1197" t="s">
        <v>101</v>
      </c>
      <c r="F1197" t="s">
        <v>2389</v>
      </c>
      <c r="G1197" t="s">
        <v>968</v>
      </c>
      <c r="H1197" t="s">
        <v>53</v>
      </c>
      <c r="I1197" t="s">
        <v>53</v>
      </c>
      <c r="J1197" t="s">
        <v>37</v>
      </c>
      <c r="K1197">
        <v>194</v>
      </c>
      <c r="L1197">
        <v>9</v>
      </c>
      <c r="M1197">
        <v>184</v>
      </c>
      <c r="N1197">
        <v>8</v>
      </c>
      <c r="O1197" t="s">
        <v>968</v>
      </c>
      <c r="P1197" t="s">
        <v>38</v>
      </c>
      <c r="Q1197">
        <v>10</v>
      </c>
      <c r="R1197">
        <v>0</v>
      </c>
      <c r="S1197" t="s">
        <v>2952</v>
      </c>
      <c r="T1197" t="s">
        <v>1965</v>
      </c>
      <c r="U1197" t="s">
        <v>2771</v>
      </c>
      <c r="V1197" t="s">
        <v>2233</v>
      </c>
      <c r="W1197" t="s">
        <v>2725</v>
      </c>
      <c r="X1197" t="s">
        <v>2219</v>
      </c>
      <c r="Y1197" t="s">
        <v>45</v>
      </c>
      <c r="Z1197">
        <v>20</v>
      </c>
      <c r="AA1197">
        <v>6</v>
      </c>
      <c r="AB1197" t="s">
        <v>46</v>
      </c>
      <c r="AC1197" t="s">
        <v>47</v>
      </c>
      <c r="AD1197" t="s">
        <v>2953</v>
      </c>
      <c r="AE1197" t="s">
        <v>2954</v>
      </c>
    </row>
    <row r="1198" spans="1:31" x14ac:dyDescent="0.2">
      <c r="A1198" t="s">
        <v>31</v>
      </c>
      <c r="B1198">
        <v>2026</v>
      </c>
      <c r="C1198">
        <v>28</v>
      </c>
      <c r="D1198" s="1">
        <v>46131</v>
      </c>
      <c r="E1198" t="s">
        <v>75</v>
      </c>
      <c r="F1198" t="s">
        <v>2368</v>
      </c>
      <c r="G1198" t="s">
        <v>66</v>
      </c>
      <c r="H1198" t="s">
        <v>36</v>
      </c>
      <c r="I1198" t="s">
        <v>66</v>
      </c>
      <c r="J1198" t="s">
        <v>54</v>
      </c>
      <c r="K1198">
        <v>155</v>
      </c>
      <c r="L1198">
        <v>9</v>
      </c>
      <c r="M1198">
        <v>161</v>
      </c>
      <c r="N1198">
        <v>6</v>
      </c>
      <c r="O1198" t="s">
        <v>36</v>
      </c>
      <c r="P1198" t="s">
        <v>38</v>
      </c>
      <c r="Q1198">
        <v>0</v>
      </c>
      <c r="R1198">
        <v>4</v>
      </c>
      <c r="S1198" t="s">
        <v>2032</v>
      </c>
      <c r="T1198" t="s">
        <v>1553</v>
      </c>
      <c r="U1198" t="s">
        <v>312</v>
      </c>
      <c r="V1198" t="s">
        <v>2466</v>
      </c>
      <c r="W1198" t="s">
        <v>939</v>
      </c>
      <c r="X1198" t="s">
        <v>1728</v>
      </c>
      <c r="Y1198" t="s">
        <v>45</v>
      </c>
      <c r="Z1198">
        <v>20</v>
      </c>
      <c r="AA1198">
        <v>6</v>
      </c>
      <c r="AB1198" t="s">
        <v>46</v>
      </c>
      <c r="AC1198" t="s">
        <v>47</v>
      </c>
      <c r="AD1198" t="s">
        <v>2955</v>
      </c>
      <c r="AE1198" t="s">
        <v>2956</v>
      </c>
    </row>
    <row r="1199" spans="1:31" x14ac:dyDescent="0.2">
      <c r="A1199" t="s">
        <v>31</v>
      </c>
      <c r="B1199">
        <v>2026</v>
      </c>
      <c r="C1199">
        <v>29</v>
      </c>
      <c r="D1199" s="1">
        <v>46131</v>
      </c>
      <c r="E1199" t="s">
        <v>2885</v>
      </c>
      <c r="F1199" t="s">
        <v>2889</v>
      </c>
      <c r="G1199" t="s">
        <v>2080</v>
      </c>
      <c r="H1199" t="s">
        <v>2213</v>
      </c>
      <c r="I1199" t="s">
        <v>2213</v>
      </c>
      <c r="J1199" t="s">
        <v>37</v>
      </c>
      <c r="K1199">
        <v>254</v>
      </c>
      <c r="L1199">
        <v>7</v>
      </c>
      <c r="M1199">
        <v>200</v>
      </c>
      <c r="N1199">
        <v>5</v>
      </c>
      <c r="O1199" t="s">
        <v>2080</v>
      </c>
      <c r="P1199" t="s">
        <v>38</v>
      </c>
      <c r="Q1199">
        <v>54</v>
      </c>
      <c r="R1199">
        <v>0</v>
      </c>
      <c r="S1199" t="s">
        <v>2774</v>
      </c>
      <c r="T1199" t="s">
        <v>40</v>
      </c>
      <c r="U1199" t="s">
        <v>455</v>
      </c>
      <c r="V1199" t="s">
        <v>2636</v>
      </c>
      <c r="W1199" t="s">
        <v>1193</v>
      </c>
      <c r="X1199" t="s">
        <v>1210</v>
      </c>
      <c r="Y1199" t="s">
        <v>45</v>
      </c>
      <c r="Z1199">
        <v>20</v>
      </c>
      <c r="AA1199">
        <v>6</v>
      </c>
      <c r="AB1199" t="s">
        <v>46</v>
      </c>
      <c r="AC1199" t="s">
        <v>47</v>
      </c>
      <c r="AD1199" t="s">
        <v>2957</v>
      </c>
      <c r="AE1199" t="s">
        <v>2958</v>
      </c>
    </row>
    <row r="1200" spans="1:31" x14ac:dyDescent="0.2">
      <c r="A1200" t="s">
        <v>31</v>
      </c>
      <c r="B1200">
        <v>2026</v>
      </c>
      <c r="C1200">
        <v>30</v>
      </c>
      <c r="D1200" s="1">
        <v>46132</v>
      </c>
      <c r="E1200" t="s">
        <v>458</v>
      </c>
      <c r="F1200" t="s">
        <v>2115</v>
      </c>
      <c r="G1200" t="s">
        <v>87</v>
      </c>
      <c r="H1200" t="s">
        <v>2214</v>
      </c>
      <c r="I1200" t="s">
        <v>2214</v>
      </c>
      <c r="J1200" t="s">
        <v>37</v>
      </c>
      <c r="K1200">
        <v>199</v>
      </c>
      <c r="L1200">
        <v>5</v>
      </c>
      <c r="M1200">
        <v>100</v>
      </c>
      <c r="N1200">
        <v>10</v>
      </c>
      <c r="O1200" t="s">
        <v>87</v>
      </c>
      <c r="P1200" t="s">
        <v>38</v>
      </c>
      <c r="Q1200">
        <v>99</v>
      </c>
      <c r="R1200">
        <v>0</v>
      </c>
      <c r="S1200" t="s">
        <v>2959</v>
      </c>
      <c r="T1200" t="s">
        <v>1772</v>
      </c>
      <c r="U1200" t="s">
        <v>2390</v>
      </c>
      <c r="V1200" t="s">
        <v>463</v>
      </c>
      <c r="W1200" t="s">
        <v>2228</v>
      </c>
      <c r="X1200" t="s">
        <v>2666</v>
      </c>
      <c r="Y1200" t="s">
        <v>45</v>
      </c>
      <c r="Z1200">
        <v>20</v>
      </c>
      <c r="AA1200">
        <v>6</v>
      </c>
      <c r="AB1200" t="s">
        <v>46</v>
      </c>
      <c r="AC1200" t="s">
        <v>47</v>
      </c>
      <c r="AD1200" t="s">
        <v>2960</v>
      </c>
      <c r="AE1200" t="s">
        <v>2961</v>
      </c>
    </row>
    <row r="1201" spans="1:31" x14ac:dyDescent="0.2">
      <c r="A1201" t="s">
        <v>31</v>
      </c>
      <c r="B1201">
        <v>2026</v>
      </c>
      <c r="C1201">
        <v>31</v>
      </c>
      <c r="D1201" s="1">
        <v>46133</v>
      </c>
      <c r="E1201" t="s">
        <v>101</v>
      </c>
      <c r="F1201" t="s">
        <v>2389</v>
      </c>
      <c r="G1201" t="s">
        <v>968</v>
      </c>
      <c r="H1201" t="s">
        <v>1820</v>
      </c>
      <c r="I1201" t="s">
        <v>1820</v>
      </c>
      <c r="J1201" t="s">
        <v>37</v>
      </c>
      <c r="K1201">
        <v>242</v>
      </c>
      <c r="L1201">
        <v>2</v>
      </c>
      <c r="M1201">
        <v>195</v>
      </c>
      <c r="N1201">
        <v>9</v>
      </c>
      <c r="O1201" t="s">
        <v>968</v>
      </c>
      <c r="P1201" t="s">
        <v>38</v>
      </c>
      <c r="Q1201">
        <v>47</v>
      </c>
      <c r="R1201">
        <v>0</v>
      </c>
      <c r="S1201" t="s">
        <v>2249</v>
      </c>
      <c r="T1201" t="s">
        <v>1965</v>
      </c>
      <c r="U1201" t="s">
        <v>2771</v>
      </c>
      <c r="V1201" t="s">
        <v>2233</v>
      </c>
      <c r="W1201" t="s">
        <v>2725</v>
      </c>
      <c r="X1201" t="s">
        <v>2219</v>
      </c>
      <c r="Y1201" t="s">
        <v>45</v>
      </c>
      <c r="Z1201">
        <v>20</v>
      </c>
      <c r="AA1201">
        <v>6</v>
      </c>
      <c r="AB1201" t="s">
        <v>46</v>
      </c>
      <c r="AC1201" t="s">
        <v>47</v>
      </c>
      <c r="AD1201" t="s">
        <v>2962</v>
      </c>
      <c r="AE1201" t="s">
        <v>2963</v>
      </c>
    </row>
    <row r="1202" spans="1:31" x14ac:dyDescent="0.2">
      <c r="A1202" t="s">
        <v>31</v>
      </c>
      <c r="B1202">
        <v>2026</v>
      </c>
      <c r="C1202">
        <v>32</v>
      </c>
      <c r="D1202" s="1">
        <v>46134</v>
      </c>
      <c r="E1202" t="s">
        <v>2383</v>
      </c>
      <c r="F1202" t="s">
        <v>2384</v>
      </c>
      <c r="G1202" t="s">
        <v>66</v>
      </c>
      <c r="H1202" t="s">
        <v>2213</v>
      </c>
      <c r="I1202" t="s">
        <v>2213</v>
      </c>
      <c r="J1202" t="s">
        <v>37</v>
      </c>
      <c r="K1202">
        <v>159</v>
      </c>
      <c r="L1202">
        <v>6</v>
      </c>
      <c r="M1202">
        <v>119</v>
      </c>
      <c r="N1202">
        <v>10</v>
      </c>
      <c r="O1202" t="s">
        <v>66</v>
      </c>
      <c r="P1202" t="s">
        <v>38</v>
      </c>
      <c r="Q1202">
        <v>40</v>
      </c>
      <c r="R1202">
        <v>0</v>
      </c>
      <c r="S1202" t="s">
        <v>802</v>
      </c>
      <c r="T1202" t="s">
        <v>1553</v>
      </c>
      <c r="U1202" t="s">
        <v>2732</v>
      </c>
      <c r="V1202" t="s">
        <v>939</v>
      </c>
      <c r="W1202" t="s">
        <v>2642</v>
      </c>
      <c r="X1202" t="s">
        <v>1728</v>
      </c>
      <c r="Y1202" t="s">
        <v>45</v>
      </c>
      <c r="Z1202">
        <v>20</v>
      </c>
      <c r="AA1202">
        <v>6</v>
      </c>
      <c r="AB1202" t="s">
        <v>46</v>
      </c>
      <c r="AC1202" t="s">
        <v>47</v>
      </c>
      <c r="AD1202" t="s">
        <v>2964</v>
      </c>
      <c r="AE1202" t="s">
        <v>2965</v>
      </c>
    </row>
    <row r="1203" spans="1:31" x14ac:dyDescent="0.2">
      <c r="A1203" t="s">
        <v>31</v>
      </c>
      <c r="B1203">
        <v>2026</v>
      </c>
      <c r="C1203">
        <v>33</v>
      </c>
      <c r="D1203" s="1">
        <v>46135</v>
      </c>
      <c r="E1203" t="s">
        <v>85</v>
      </c>
      <c r="F1203" t="s">
        <v>2075</v>
      </c>
      <c r="G1203" t="s">
        <v>53</v>
      </c>
      <c r="H1203" t="s">
        <v>87</v>
      </c>
      <c r="I1203" t="s">
        <v>87</v>
      </c>
      <c r="J1203" t="s">
        <v>37</v>
      </c>
      <c r="K1203">
        <v>207</v>
      </c>
      <c r="L1203">
        <v>6</v>
      </c>
      <c r="M1203">
        <v>104</v>
      </c>
      <c r="N1203">
        <v>10</v>
      </c>
      <c r="O1203" t="s">
        <v>53</v>
      </c>
      <c r="P1203" t="s">
        <v>38</v>
      </c>
      <c r="Q1203">
        <v>103</v>
      </c>
      <c r="R1203">
        <v>0</v>
      </c>
      <c r="S1203" t="s">
        <v>1055</v>
      </c>
      <c r="T1203" t="s">
        <v>1772</v>
      </c>
      <c r="U1203" t="s">
        <v>2725</v>
      </c>
      <c r="V1203" t="s">
        <v>2479</v>
      </c>
      <c r="W1203" t="s">
        <v>463</v>
      </c>
      <c r="X1203" t="s">
        <v>2666</v>
      </c>
      <c r="Y1203" t="s">
        <v>45</v>
      </c>
      <c r="Z1203">
        <v>20</v>
      </c>
      <c r="AA1203">
        <v>6</v>
      </c>
      <c r="AB1203" t="s">
        <v>46</v>
      </c>
      <c r="AC1203" t="s">
        <v>47</v>
      </c>
      <c r="AD1203" t="s">
        <v>2966</v>
      </c>
      <c r="AE1203" t="s">
        <v>2967</v>
      </c>
    </row>
    <row r="1204" spans="1:31" x14ac:dyDescent="0.2">
      <c r="A1204" t="s">
        <v>31</v>
      </c>
      <c r="B1204">
        <v>2026</v>
      </c>
      <c r="C1204">
        <v>34</v>
      </c>
      <c r="D1204" s="1">
        <v>46136</v>
      </c>
      <c r="E1204" t="s">
        <v>1558</v>
      </c>
      <c r="F1204" t="s">
        <v>2393</v>
      </c>
      <c r="G1204" t="s">
        <v>2214</v>
      </c>
      <c r="H1204" t="s">
        <v>2562</v>
      </c>
      <c r="I1204" t="s">
        <v>2562</v>
      </c>
      <c r="J1204" t="s">
        <v>37</v>
      </c>
      <c r="K1204">
        <v>205</v>
      </c>
      <c r="L1204">
        <v>3</v>
      </c>
      <c r="M1204">
        <v>206</v>
      </c>
      <c r="N1204">
        <v>5</v>
      </c>
      <c r="O1204" t="s">
        <v>2562</v>
      </c>
      <c r="P1204" t="s">
        <v>38</v>
      </c>
      <c r="Q1204">
        <v>0</v>
      </c>
      <c r="R1204">
        <v>5</v>
      </c>
      <c r="S1204" t="s">
        <v>678</v>
      </c>
      <c r="T1204" t="s">
        <v>40</v>
      </c>
      <c r="U1204" t="s">
        <v>2810</v>
      </c>
      <c r="V1204" t="s">
        <v>455</v>
      </c>
      <c r="W1204" t="s">
        <v>1210</v>
      </c>
      <c r="X1204" t="s">
        <v>2636</v>
      </c>
      <c r="Y1204" t="s">
        <v>45</v>
      </c>
      <c r="Z1204">
        <v>20</v>
      </c>
      <c r="AA1204">
        <v>6</v>
      </c>
      <c r="AB1204" t="s">
        <v>46</v>
      </c>
      <c r="AC1204" t="s">
        <v>47</v>
      </c>
      <c r="AD1204" t="s">
        <v>2968</v>
      </c>
      <c r="AE1204" t="s">
        <v>2969</v>
      </c>
    </row>
    <row r="1205" spans="1:31" x14ac:dyDescent="0.2">
      <c r="A1205" t="s">
        <v>31</v>
      </c>
      <c r="B1205">
        <v>2026</v>
      </c>
      <c r="C1205">
        <v>35</v>
      </c>
      <c r="D1205" s="1">
        <v>46137</v>
      </c>
      <c r="E1205" t="s">
        <v>63</v>
      </c>
      <c r="F1205" t="s">
        <v>2120</v>
      </c>
      <c r="G1205" t="s">
        <v>1820</v>
      </c>
      <c r="H1205" t="s">
        <v>2080</v>
      </c>
      <c r="I1205" t="s">
        <v>1820</v>
      </c>
      <c r="J1205" t="s">
        <v>54</v>
      </c>
      <c r="K1205">
        <v>264</v>
      </c>
      <c r="L1205">
        <v>2</v>
      </c>
      <c r="M1205">
        <v>265</v>
      </c>
      <c r="N1205">
        <v>4</v>
      </c>
      <c r="O1205" t="s">
        <v>2080</v>
      </c>
      <c r="P1205" t="s">
        <v>38</v>
      </c>
      <c r="Q1205">
        <v>0</v>
      </c>
      <c r="R1205">
        <v>6</v>
      </c>
      <c r="S1205" t="s">
        <v>1684</v>
      </c>
      <c r="T1205" t="s">
        <v>1553</v>
      </c>
      <c r="U1205" t="s">
        <v>2732</v>
      </c>
      <c r="V1205" t="s">
        <v>939</v>
      </c>
      <c r="W1205" t="s">
        <v>2642</v>
      </c>
      <c r="X1205" t="s">
        <v>1728</v>
      </c>
      <c r="Y1205" t="s">
        <v>45</v>
      </c>
      <c r="Z1205">
        <v>20</v>
      </c>
      <c r="AA1205">
        <v>6</v>
      </c>
      <c r="AB1205" t="s">
        <v>46</v>
      </c>
      <c r="AC1205" t="s">
        <v>47</v>
      </c>
      <c r="AD1205" t="s">
        <v>2970</v>
      </c>
      <c r="AE1205" t="s">
        <v>2905</v>
      </c>
    </row>
    <row r="1206" spans="1:31" x14ac:dyDescent="0.2">
      <c r="A1206" t="s">
        <v>31</v>
      </c>
      <c r="B1206">
        <v>2026</v>
      </c>
      <c r="C1206">
        <v>36</v>
      </c>
      <c r="D1206" s="1">
        <v>46137</v>
      </c>
      <c r="E1206" t="s">
        <v>95</v>
      </c>
      <c r="F1206" t="s">
        <v>2445</v>
      </c>
      <c r="G1206" t="s">
        <v>66</v>
      </c>
      <c r="H1206" t="s">
        <v>968</v>
      </c>
      <c r="I1206" t="s">
        <v>968</v>
      </c>
      <c r="J1206" t="s">
        <v>37</v>
      </c>
      <c r="K1206">
        <v>228</v>
      </c>
      <c r="L1206">
        <v>6</v>
      </c>
      <c r="M1206">
        <v>229</v>
      </c>
      <c r="N1206">
        <v>5</v>
      </c>
      <c r="O1206" t="s">
        <v>968</v>
      </c>
      <c r="P1206" t="s">
        <v>38</v>
      </c>
      <c r="Q1206">
        <v>0</v>
      </c>
      <c r="R1206">
        <v>5</v>
      </c>
      <c r="S1206" t="s">
        <v>1771</v>
      </c>
      <c r="T1206" t="s">
        <v>1461</v>
      </c>
      <c r="U1206" t="s">
        <v>2805</v>
      </c>
      <c r="V1206" t="s">
        <v>989</v>
      </c>
      <c r="W1206" t="s">
        <v>2219</v>
      </c>
      <c r="X1206" t="s">
        <v>2722</v>
      </c>
      <c r="Y1206" t="s">
        <v>45</v>
      </c>
      <c r="Z1206">
        <v>20</v>
      </c>
      <c r="AA1206">
        <v>6</v>
      </c>
      <c r="AB1206" t="s">
        <v>46</v>
      </c>
      <c r="AC1206" t="s">
        <v>47</v>
      </c>
      <c r="AD1206" t="s">
        <v>2971</v>
      </c>
      <c r="AE1206" t="s">
        <v>2972</v>
      </c>
    </row>
    <row r="1207" spans="1:31" x14ac:dyDescent="0.2">
      <c r="A1207" t="s">
        <v>31</v>
      </c>
      <c r="B1207">
        <v>2026</v>
      </c>
      <c r="C1207">
        <v>37</v>
      </c>
      <c r="D1207" s="1">
        <v>46138</v>
      </c>
      <c r="E1207" t="s">
        <v>108</v>
      </c>
      <c r="F1207" t="s">
        <v>2072</v>
      </c>
      <c r="G1207" t="s">
        <v>53</v>
      </c>
      <c r="H1207" t="s">
        <v>2214</v>
      </c>
      <c r="I1207" t="s">
        <v>2214</v>
      </c>
      <c r="J1207" t="s">
        <v>37</v>
      </c>
      <c r="K1207">
        <v>158</v>
      </c>
      <c r="L1207">
        <v>7</v>
      </c>
      <c r="M1207">
        <v>162</v>
      </c>
      <c r="N1207">
        <v>2</v>
      </c>
      <c r="O1207" t="s">
        <v>2214</v>
      </c>
      <c r="P1207" t="s">
        <v>38</v>
      </c>
      <c r="Q1207">
        <v>0</v>
      </c>
      <c r="R1207">
        <v>8</v>
      </c>
      <c r="S1207" t="s">
        <v>1859</v>
      </c>
      <c r="T1207" t="s">
        <v>1772</v>
      </c>
      <c r="U1207" t="s">
        <v>2725</v>
      </c>
      <c r="V1207" t="s">
        <v>463</v>
      </c>
      <c r="W1207" t="s">
        <v>2228</v>
      </c>
      <c r="X1207" t="s">
        <v>2666</v>
      </c>
      <c r="Y1207" t="s">
        <v>45</v>
      </c>
      <c r="Z1207">
        <v>20</v>
      </c>
      <c r="AA1207">
        <v>6</v>
      </c>
      <c r="AB1207" t="s">
        <v>46</v>
      </c>
      <c r="AC1207" t="s">
        <v>47</v>
      </c>
      <c r="AD1207" t="s">
        <v>2973</v>
      </c>
      <c r="AE1207" t="s">
        <v>2974</v>
      </c>
    </row>
    <row r="1208" spans="1:31" x14ac:dyDescent="0.2">
      <c r="A1208" t="s">
        <v>31</v>
      </c>
      <c r="B1208">
        <v>2026</v>
      </c>
      <c r="C1208">
        <v>38</v>
      </c>
      <c r="D1208" s="1">
        <v>46138</v>
      </c>
      <c r="E1208" t="s">
        <v>2383</v>
      </c>
      <c r="F1208" t="s">
        <v>2384</v>
      </c>
      <c r="G1208" t="s">
        <v>36</v>
      </c>
      <c r="H1208" t="s">
        <v>2213</v>
      </c>
      <c r="I1208" t="s">
        <v>2213</v>
      </c>
      <c r="J1208" t="s">
        <v>37</v>
      </c>
      <c r="K1208">
        <v>159</v>
      </c>
      <c r="L1208">
        <v>7</v>
      </c>
      <c r="M1208">
        <v>156</v>
      </c>
      <c r="N1208">
        <v>10</v>
      </c>
      <c r="O1208" t="s">
        <v>304</v>
      </c>
      <c r="P1208" t="s">
        <v>305</v>
      </c>
      <c r="Q1208">
        <v>0</v>
      </c>
      <c r="R1208">
        <v>0</v>
      </c>
      <c r="S1208" t="s">
        <v>2316</v>
      </c>
      <c r="T1208" t="s">
        <v>40</v>
      </c>
      <c r="U1208" t="s">
        <v>2375</v>
      </c>
      <c r="V1208" t="s">
        <v>2636</v>
      </c>
      <c r="W1208" t="s">
        <v>1193</v>
      </c>
      <c r="X1208" t="s">
        <v>2810</v>
      </c>
      <c r="Y1208" t="s">
        <v>45</v>
      </c>
      <c r="Z1208">
        <v>20</v>
      </c>
      <c r="AA1208">
        <v>6</v>
      </c>
      <c r="AB1208" t="s">
        <v>46</v>
      </c>
      <c r="AC1208" t="s">
        <v>47</v>
      </c>
      <c r="AD1208" t="s">
        <v>2975</v>
      </c>
      <c r="AE1208" t="s">
        <v>2976</v>
      </c>
    </row>
    <row r="1209" spans="1:31" x14ac:dyDescent="0.2">
      <c r="A1209" t="s">
        <v>31</v>
      </c>
      <c r="B1209">
        <v>2026</v>
      </c>
      <c r="C1209">
        <v>39</v>
      </c>
      <c r="D1209" s="1">
        <v>46139</v>
      </c>
      <c r="E1209" t="s">
        <v>63</v>
      </c>
      <c r="F1209" t="s">
        <v>2120</v>
      </c>
      <c r="G1209" t="s">
        <v>1820</v>
      </c>
      <c r="H1209" t="s">
        <v>2562</v>
      </c>
      <c r="I1209" t="s">
        <v>2562</v>
      </c>
      <c r="J1209" t="s">
        <v>37</v>
      </c>
      <c r="K1209">
        <v>75</v>
      </c>
      <c r="L1209">
        <v>10</v>
      </c>
      <c r="M1209">
        <v>77</v>
      </c>
      <c r="N1209">
        <v>1</v>
      </c>
      <c r="O1209" t="s">
        <v>2562</v>
      </c>
      <c r="P1209" t="s">
        <v>38</v>
      </c>
      <c r="Q1209">
        <v>0</v>
      </c>
      <c r="R1209">
        <v>9</v>
      </c>
      <c r="S1209" t="s">
        <v>2167</v>
      </c>
      <c r="T1209" t="s">
        <v>1553</v>
      </c>
      <c r="U1209" t="s">
        <v>2732</v>
      </c>
      <c r="V1209" t="s">
        <v>2977</v>
      </c>
      <c r="W1209" t="s">
        <v>2466</v>
      </c>
      <c r="X1209" t="s">
        <v>1728</v>
      </c>
      <c r="Y1209" t="s">
        <v>45</v>
      </c>
      <c r="Z1209">
        <v>20</v>
      </c>
      <c r="AA1209">
        <v>6</v>
      </c>
      <c r="AB1209" t="s">
        <v>46</v>
      </c>
      <c r="AC1209" t="s">
        <v>47</v>
      </c>
      <c r="AD1209" t="s">
        <v>2978</v>
      </c>
      <c r="AE1209" t="s">
        <v>2979</v>
      </c>
    </row>
    <row r="1210" spans="1:31" x14ac:dyDescent="0.2">
      <c r="A1210" t="s">
        <v>31</v>
      </c>
      <c r="B1210">
        <v>2026</v>
      </c>
      <c r="C1210">
        <v>40</v>
      </c>
      <c r="D1210" s="1">
        <v>46140</v>
      </c>
      <c r="E1210" t="s">
        <v>2885</v>
      </c>
      <c r="F1210" t="s">
        <v>2889</v>
      </c>
      <c r="G1210" t="s">
        <v>2080</v>
      </c>
      <c r="H1210" t="s">
        <v>66</v>
      </c>
      <c r="I1210" t="s">
        <v>66</v>
      </c>
      <c r="J1210" t="s">
        <v>37</v>
      </c>
      <c r="K1210">
        <v>222</v>
      </c>
      <c r="L1210">
        <v>4</v>
      </c>
      <c r="M1210">
        <v>228</v>
      </c>
      <c r="N1210">
        <v>4</v>
      </c>
      <c r="O1210" t="s">
        <v>66</v>
      </c>
      <c r="P1210" t="s">
        <v>38</v>
      </c>
      <c r="Q1210">
        <v>0</v>
      </c>
      <c r="R1210">
        <v>6</v>
      </c>
      <c r="S1210" t="s">
        <v>2980</v>
      </c>
      <c r="T1210" t="s">
        <v>1461</v>
      </c>
      <c r="U1210" t="s">
        <v>989</v>
      </c>
      <c r="V1210" t="s">
        <v>2722</v>
      </c>
      <c r="W1210" t="s">
        <v>2805</v>
      </c>
      <c r="X1210" t="s">
        <v>2219</v>
      </c>
      <c r="Y1210" t="s">
        <v>45</v>
      </c>
      <c r="Z1210">
        <v>20</v>
      </c>
      <c r="AA1210">
        <v>6</v>
      </c>
      <c r="AB1210" t="s">
        <v>46</v>
      </c>
      <c r="AC1210" t="s">
        <v>47</v>
      </c>
      <c r="AD1210" t="s">
        <v>2981</v>
      </c>
      <c r="AE1210" t="s">
        <v>2982</v>
      </c>
    </row>
    <row r="1211" spans="1:31" x14ac:dyDescent="0.2">
      <c r="A1211" t="s">
        <v>31</v>
      </c>
      <c r="B1211">
        <v>2026</v>
      </c>
      <c r="C1211">
        <v>41</v>
      </c>
      <c r="D1211" s="1">
        <v>46141</v>
      </c>
      <c r="E1211" t="s">
        <v>85</v>
      </c>
      <c r="F1211" t="s">
        <v>2075</v>
      </c>
      <c r="G1211" t="s">
        <v>87</v>
      </c>
      <c r="H1211" t="s">
        <v>968</v>
      </c>
      <c r="I1211" t="s">
        <v>87</v>
      </c>
      <c r="J1211" t="s">
        <v>54</v>
      </c>
      <c r="K1211">
        <v>243</v>
      </c>
      <c r="L1211">
        <v>5</v>
      </c>
      <c r="M1211">
        <v>249</v>
      </c>
      <c r="N1211">
        <v>4</v>
      </c>
      <c r="O1211" t="s">
        <v>968</v>
      </c>
      <c r="P1211" t="s">
        <v>38</v>
      </c>
      <c r="Q1211">
        <v>0</v>
      </c>
      <c r="R1211">
        <v>6</v>
      </c>
      <c r="S1211" t="s">
        <v>2876</v>
      </c>
      <c r="T1211" t="s">
        <v>40</v>
      </c>
      <c r="U1211" t="s">
        <v>2375</v>
      </c>
      <c r="V1211" t="s">
        <v>455</v>
      </c>
      <c r="W1211" t="s">
        <v>1210</v>
      </c>
      <c r="X1211" t="s">
        <v>2810</v>
      </c>
      <c r="Y1211" t="s">
        <v>45</v>
      </c>
      <c r="Z1211">
        <v>20</v>
      </c>
      <c r="AA1211">
        <v>6</v>
      </c>
      <c r="AB1211" t="s">
        <v>46</v>
      </c>
      <c r="AC1211" t="s">
        <v>47</v>
      </c>
      <c r="AD1211" t="s">
        <v>2983</v>
      </c>
      <c r="AE1211" t="s">
        <v>2984</v>
      </c>
    </row>
    <row r="1212" spans="1:31" x14ac:dyDescent="0.2">
      <c r="A1212" t="s">
        <v>31</v>
      </c>
      <c r="B1212">
        <v>2026</v>
      </c>
      <c r="C1212">
        <v>42</v>
      </c>
      <c r="D1212" s="1">
        <v>46142</v>
      </c>
      <c r="E1212" t="s">
        <v>458</v>
      </c>
      <c r="F1212" t="s">
        <v>2115</v>
      </c>
      <c r="G1212" t="s">
        <v>2562</v>
      </c>
      <c r="H1212" t="s">
        <v>2214</v>
      </c>
      <c r="I1212" t="s">
        <v>2214</v>
      </c>
      <c r="J1212" t="s">
        <v>37</v>
      </c>
      <c r="K1212">
        <v>155</v>
      </c>
      <c r="L1212">
        <v>10</v>
      </c>
      <c r="M1212">
        <v>158</v>
      </c>
      <c r="N1212">
        <v>6</v>
      </c>
      <c r="O1212" t="s">
        <v>2214</v>
      </c>
      <c r="P1212" t="s">
        <v>38</v>
      </c>
      <c r="Q1212">
        <v>0</v>
      </c>
      <c r="R1212">
        <v>4</v>
      </c>
      <c r="S1212" t="s">
        <v>2154</v>
      </c>
      <c r="T1212" t="s">
        <v>2816</v>
      </c>
      <c r="U1212" t="s">
        <v>2725</v>
      </c>
      <c r="V1212" t="s">
        <v>463</v>
      </c>
      <c r="W1212" t="s">
        <v>2390</v>
      </c>
      <c r="X1212" t="s">
        <v>2479</v>
      </c>
      <c r="Y1212" t="s">
        <v>45</v>
      </c>
      <c r="Z1212">
        <v>20</v>
      </c>
      <c r="AA1212">
        <v>6</v>
      </c>
      <c r="AB1212" t="s">
        <v>46</v>
      </c>
      <c r="AC1212" t="s">
        <v>47</v>
      </c>
      <c r="AD1212" t="s">
        <v>2985</v>
      </c>
      <c r="AE1212" t="s">
        <v>2986</v>
      </c>
    </row>
    <row r="1213" spans="1:31" x14ac:dyDescent="0.2">
      <c r="A1213" t="s">
        <v>31</v>
      </c>
      <c r="B1213">
        <v>2026</v>
      </c>
      <c r="C1213">
        <v>43</v>
      </c>
      <c r="D1213" s="1">
        <v>46143</v>
      </c>
      <c r="E1213" t="s">
        <v>95</v>
      </c>
      <c r="F1213" t="s">
        <v>2445</v>
      </c>
      <c r="G1213" t="s">
        <v>66</v>
      </c>
      <c r="H1213" t="s">
        <v>1820</v>
      </c>
      <c r="I1213" t="s">
        <v>66</v>
      </c>
      <c r="J1213" t="s">
        <v>54</v>
      </c>
      <c r="K1213">
        <v>225</v>
      </c>
      <c r="L1213">
        <v>6</v>
      </c>
      <c r="M1213">
        <v>226</v>
      </c>
      <c r="N1213">
        <v>3</v>
      </c>
      <c r="O1213" t="s">
        <v>1820</v>
      </c>
      <c r="P1213" t="s">
        <v>38</v>
      </c>
      <c r="Q1213">
        <v>0</v>
      </c>
      <c r="R1213">
        <v>7</v>
      </c>
      <c r="S1213" t="s">
        <v>1684</v>
      </c>
      <c r="T1213" t="s">
        <v>2425</v>
      </c>
      <c r="U1213" t="s">
        <v>2977</v>
      </c>
      <c r="V1213" t="s">
        <v>939</v>
      </c>
      <c r="W1213" t="s">
        <v>1728</v>
      </c>
      <c r="X1213" t="s">
        <v>2732</v>
      </c>
      <c r="Y1213" t="s">
        <v>45</v>
      </c>
      <c r="Z1213">
        <v>20</v>
      </c>
      <c r="AA1213">
        <v>6</v>
      </c>
      <c r="AB1213" t="s">
        <v>46</v>
      </c>
      <c r="AC1213" t="s">
        <v>47</v>
      </c>
      <c r="AD1213" t="s">
        <v>2987</v>
      </c>
      <c r="AE1213" t="s">
        <v>2988</v>
      </c>
    </row>
    <row r="1214" spans="1:31" x14ac:dyDescent="0.2">
      <c r="A1214" t="s">
        <v>31</v>
      </c>
      <c r="B1214">
        <v>2026</v>
      </c>
      <c r="C1214">
        <v>44</v>
      </c>
      <c r="D1214" s="1">
        <v>46144</v>
      </c>
      <c r="E1214" t="s">
        <v>108</v>
      </c>
      <c r="F1214" t="s">
        <v>2072</v>
      </c>
      <c r="G1214" t="s">
        <v>87</v>
      </c>
      <c r="H1214" t="s">
        <v>53</v>
      </c>
      <c r="I1214" t="s">
        <v>87</v>
      </c>
      <c r="J1214" t="s">
        <v>54</v>
      </c>
      <c r="K1214">
        <v>159</v>
      </c>
      <c r="L1214">
        <v>7</v>
      </c>
      <c r="M1214">
        <v>160</v>
      </c>
      <c r="N1214">
        <v>2</v>
      </c>
      <c r="O1214" t="s">
        <v>53</v>
      </c>
      <c r="P1214" t="s">
        <v>38</v>
      </c>
      <c r="Q1214">
        <v>0</v>
      </c>
      <c r="R1214">
        <v>8</v>
      </c>
      <c r="S1214" t="s">
        <v>2038</v>
      </c>
      <c r="T1214" t="s">
        <v>1461</v>
      </c>
      <c r="U1214" t="s">
        <v>2805</v>
      </c>
      <c r="V1214" t="s">
        <v>989</v>
      </c>
      <c r="W1214" t="s">
        <v>2233</v>
      </c>
      <c r="X1214" t="s">
        <v>2722</v>
      </c>
      <c r="Y1214" t="s">
        <v>45</v>
      </c>
      <c r="Z1214">
        <v>20</v>
      </c>
      <c r="AA1214">
        <v>6</v>
      </c>
      <c r="AB1214" t="s">
        <v>46</v>
      </c>
      <c r="AC1214" t="s">
        <v>47</v>
      </c>
      <c r="AD1214" t="s">
        <v>2989</v>
      </c>
      <c r="AE1214" t="s">
        <v>2990</v>
      </c>
    </row>
    <row r="1215" spans="1:31" x14ac:dyDescent="0.2">
      <c r="A1215" t="s">
        <v>31</v>
      </c>
      <c r="B1215">
        <v>2026</v>
      </c>
      <c r="C1215">
        <v>45</v>
      </c>
      <c r="D1215" s="1">
        <v>46145</v>
      </c>
      <c r="E1215" t="s">
        <v>101</v>
      </c>
      <c r="F1215" t="s">
        <v>2389</v>
      </c>
      <c r="G1215" t="s">
        <v>968</v>
      </c>
      <c r="H1215" t="s">
        <v>36</v>
      </c>
      <c r="I1215" t="s">
        <v>968</v>
      </c>
      <c r="J1215" t="s">
        <v>54</v>
      </c>
      <c r="K1215">
        <v>165</v>
      </c>
      <c r="L1215">
        <v>10</v>
      </c>
      <c r="M1215">
        <v>169</v>
      </c>
      <c r="N1215">
        <v>3</v>
      </c>
      <c r="O1215" t="s">
        <v>36</v>
      </c>
      <c r="P1215" t="s">
        <v>38</v>
      </c>
      <c r="Q1215">
        <v>0</v>
      </c>
      <c r="R1215">
        <v>7</v>
      </c>
      <c r="S1215" t="s">
        <v>2032</v>
      </c>
      <c r="T1215" t="s">
        <v>2816</v>
      </c>
      <c r="U1215" t="s">
        <v>2375</v>
      </c>
      <c r="V1215" t="s">
        <v>455</v>
      </c>
      <c r="W1215" t="s">
        <v>1210</v>
      </c>
      <c r="X1215" t="s">
        <v>2810</v>
      </c>
      <c r="Y1215" t="s">
        <v>45</v>
      </c>
      <c r="Z1215">
        <v>20</v>
      </c>
      <c r="AA1215">
        <v>6</v>
      </c>
      <c r="AB1215" t="s">
        <v>46</v>
      </c>
      <c r="AC1215" t="s">
        <v>47</v>
      </c>
      <c r="AD1215" t="s">
        <v>2991</v>
      </c>
      <c r="AE1215" t="s">
        <v>2992</v>
      </c>
    </row>
    <row r="1216" spans="1:31" x14ac:dyDescent="0.2">
      <c r="A1216" t="s">
        <v>31</v>
      </c>
      <c r="B1216">
        <v>2026</v>
      </c>
      <c r="C1216">
        <v>46</v>
      </c>
      <c r="D1216" s="1">
        <v>46145</v>
      </c>
      <c r="E1216" t="s">
        <v>458</v>
      </c>
      <c r="F1216" t="s">
        <v>2115</v>
      </c>
      <c r="G1216" t="s">
        <v>2080</v>
      </c>
      <c r="H1216" t="s">
        <v>2214</v>
      </c>
      <c r="I1216" t="s">
        <v>2214</v>
      </c>
      <c r="J1216" t="s">
        <v>37</v>
      </c>
      <c r="K1216">
        <v>163</v>
      </c>
      <c r="L1216">
        <v>9</v>
      </c>
      <c r="M1216">
        <v>167</v>
      </c>
      <c r="N1216">
        <v>6</v>
      </c>
      <c r="O1216" t="s">
        <v>2214</v>
      </c>
      <c r="P1216" t="s">
        <v>38</v>
      </c>
      <c r="Q1216">
        <v>0</v>
      </c>
      <c r="R1216">
        <v>4</v>
      </c>
      <c r="S1216" t="s">
        <v>2154</v>
      </c>
      <c r="T1216" t="s">
        <v>2517</v>
      </c>
      <c r="U1216" t="s">
        <v>463</v>
      </c>
      <c r="V1216" t="s">
        <v>2479</v>
      </c>
      <c r="W1216" t="s">
        <v>2390</v>
      </c>
      <c r="X1216" t="s">
        <v>2666</v>
      </c>
      <c r="Y1216" t="s">
        <v>45</v>
      </c>
      <c r="Z1216">
        <v>20</v>
      </c>
      <c r="AA1216">
        <v>6</v>
      </c>
      <c r="AB1216" t="s">
        <v>46</v>
      </c>
      <c r="AC1216" t="s">
        <v>47</v>
      </c>
      <c r="AD1216" t="s">
        <v>2993</v>
      </c>
      <c r="AE1216" t="s">
        <v>2994</v>
      </c>
    </row>
    <row r="1217" spans="1:31" x14ac:dyDescent="0.2">
      <c r="A1217" t="s">
        <v>31</v>
      </c>
      <c r="B1217">
        <v>2026</v>
      </c>
      <c r="C1217">
        <v>47</v>
      </c>
      <c r="D1217" s="1">
        <v>46146</v>
      </c>
      <c r="E1217" t="s">
        <v>85</v>
      </c>
      <c r="F1217" t="s">
        <v>2075</v>
      </c>
      <c r="G1217" t="s">
        <v>2213</v>
      </c>
      <c r="H1217" t="s">
        <v>87</v>
      </c>
      <c r="I1217" t="s">
        <v>87</v>
      </c>
      <c r="J1217" t="s">
        <v>37</v>
      </c>
      <c r="K1217">
        <v>228</v>
      </c>
      <c r="L1217">
        <v>5</v>
      </c>
      <c r="M1217">
        <v>229</v>
      </c>
      <c r="N1217">
        <v>4</v>
      </c>
      <c r="O1217" t="s">
        <v>87</v>
      </c>
      <c r="P1217" t="s">
        <v>38</v>
      </c>
      <c r="Q1217">
        <v>0</v>
      </c>
      <c r="R1217">
        <v>6</v>
      </c>
      <c r="S1217" t="s">
        <v>2836</v>
      </c>
      <c r="T1217" t="s">
        <v>2425</v>
      </c>
      <c r="U1217" t="s">
        <v>2732</v>
      </c>
      <c r="V1217" t="s">
        <v>2977</v>
      </c>
      <c r="W1217" t="s">
        <v>939</v>
      </c>
      <c r="X1217" t="s">
        <v>2995</v>
      </c>
      <c r="Y1217" t="s">
        <v>45</v>
      </c>
      <c r="Z1217">
        <v>20</v>
      </c>
      <c r="AA1217">
        <v>6</v>
      </c>
      <c r="AB1217" t="s">
        <v>46</v>
      </c>
      <c r="AC1217" t="s">
        <v>47</v>
      </c>
      <c r="AD1217" t="s">
        <v>2996</v>
      </c>
      <c r="AE1217" t="s">
        <v>2997</v>
      </c>
    </row>
    <row r="1218" spans="1:31" x14ac:dyDescent="0.2">
      <c r="A1218" t="s">
        <v>31</v>
      </c>
      <c r="B1218">
        <v>2026</v>
      </c>
      <c r="C1218">
        <v>48</v>
      </c>
      <c r="D1218" s="1">
        <v>46147</v>
      </c>
      <c r="E1218" t="s">
        <v>63</v>
      </c>
      <c r="F1218" t="s">
        <v>2120</v>
      </c>
      <c r="G1218" t="s">
        <v>1820</v>
      </c>
      <c r="H1218" t="s">
        <v>53</v>
      </c>
      <c r="I1218" t="s">
        <v>1820</v>
      </c>
      <c r="J1218" t="s">
        <v>54</v>
      </c>
      <c r="K1218">
        <v>155</v>
      </c>
      <c r="L1218">
        <v>7</v>
      </c>
      <c r="M1218">
        <v>159</v>
      </c>
      <c r="N1218">
        <v>2</v>
      </c>
      <c r="O1218" t="s">
        <v>53</v>
      </c>
      <c r="P1218" t="s">
        <v>38</v>
      </c>
      <c r="Q1218">
        <v>0</v>
      </c>
      <c r="R1218">
        <v>8</v>
      </c>
      <c r="S1218" t="s">
        <v>1055</v>
      </c>
      <c r="T1218" t="s">
        <v>1461</v>
      </c>
      <c r="U1218" t="s">
        <v>2805</v>
      </c>
      <c r="V1218" t="s">
        <v>2722</v>
      </c>
      <c r="W1218" t="s">
        <v>989</v>
      </c>
      <c r="X1218" t="s">
        <v>2771</v>
      </c>
      <c r="Y1218" t="s">
        <v>45</v>
      </c>
      <c r="Z1218">
        <v>20</v>
      </c>
      <c r="AA1218">
        <v>6</v>
      </c>
      <c r="AB1218" t="s">
        <v>46</v>
      </c>
      <c r="AC1218" t="s">
        <v>47</v>
      </c>
      <c r="AD1218" t="s">
        <v>2998</v>
      </c>
      <c r="AE1218" t="s">
        <v>2999</v>
      </c>
    </row>
    <row r="1219" spans="1:31" x14ac:dyDescent="0.2">
      <c r="A1219" t="s">
        <v>31</v>
      </c>
      <c r="B1219">
        <v>2026</v>
      </c>
      <c r="C1219">
        <v>49</v>
      </c>
      <c r="D1219" s="1">
        <v>46148</v>
      </c>
      <c r="E1219" t="s">
        <v>101</v>
      </c>
      <c r="F1219" t="s">
        <v>2389</v>
      </c>
      <c r="G1219" t="s">
        <v>968</v>
      </c>
      <c r="H1219" t="s">
        <v>2080</v>
      </c>
      <c r="I1219" t="s">
        <v>2080</v>
      </c>
      <c r="J1219" t="s">
        <v>37</v>
      </c>
      <c r="K1219">
        <v>235</v>
      </c>
      <c r="L1219">
        <v>4</v>
      </c>
      <c r="M1219">
        <v>202</v>
      </c>
      <c r="N1219">
        <v>7</v>
      </c>
      <c r="O1219" t="s">
        <v>968</v>
      </c>
      <c r="P1219" t="s">
        <v>38</v>
      </c>
      <c r="Q1219">
        <v>33</v>
      </c>
      <c r="R1219">
        <v>0</v>
      </c>
      <c r="S1219" t="s">
        <v>2057</v>
      </c>
      <c r="T1219" t="s">
        <v>2215</v>
      </c>
      <c r="U1219" t="s">
        <v>455</v>
      </c>
      <c r="V1219" t="s">
        <v>2636</v>
      </c>
      <c r="W1219" t="s">
        <v>1210</v>
      </c>
      <c r="X1219" t="s">
        <v>2810</v>
      </c>
      <c r="Y1219" t="s">
        <v>45</v>
      </c>
      <c r="Z1219">
        <v>20</v>
      </c>
      <c r="AA1219">
        <v>6</v>
      </c>
      <c r="AB1219" t="s">
        <v>46</v>
      </c>
      <c r="AC1219" t="s">
        <v>47</v>
      </c>
      <c r="AD1219" t="s">
        <v>3000</v>
      </c>
      <c r="AE1219" t="s">
        <v>3001</v>
      </c>
    </row>
    <row r="1220" spans="1:31" x14ac:dyDescent="0.2">
      <c r="A1220" t="s">
        <v>31</v>
      </c>
      <c r="B1220">
        <v>2026</v>
      </c>
      <c r="C1220">
        <v>50</v>
      </c>
      <c r="D1220" s="1">
        <v>46149</v>
      </c>
      <c r="E1220" t="s">
        <v>2383</v>
      </c>
      <c r="F1220" t="s">
        <v>2384</v>
      </c>
      <c r="G1220" t="s">
        <v>2213</v>
      </c>
      <c r="H1220" t="s">
        <v>2562</v>
      </c>
      <c r="I1220" t="s">
        <v>2562</v>
      </c>
      <c r="J1220" t="s">
        <v>37</v>
      </c>
      <c r="K1220">
        <v>209</v>
      </c>
      <c r="L1220">
        <v>3</v>
      </c>
      <c r="M1220">
        <v>203</v>
      </c>
      <c r="N1220">
        <v>6</v>
      </c>
      <c r="O1220" t="s">
        <v>2213</v>
      </c>
      <c r="P1220" t="s">
        <v>38</v>
      </c>
      <c r="Q1220">
        <v>9</v>
      </c>
      <c r="R1220">
        <v>0</v>
      </c>
      <c r="S1220" t="s">
        <v>729</v>
      </c>
      <c r="T1220" t="s">
        <v>2517</v>
      </c>
      <c r="U1220" t="s">
        <v>2228</v>
      </c>
      <c r="V1220" t="s">
        <v>2479</v>
      </c>
      <c r="W1220" t="s">
        <v>2725</v>
      </c>
      <c r="X1220" t="s">
        <v>2995</v>
      </c>
      <c r="Y1220" t="s">
        <v>45</v>
      </c>
      <c r="Z1220">
        <v>20</v>
      </c>
      <c r="AA1220">
        <v>6</v>
      </c>
      <c r="AB1220" t="s">
        <v>46</v>
      </c>
      <c r="AC1220" t="s">
        <v>47</v>
      </c>
      <c r="AD1220" t="s">
        <v>3002</v>
      </c>
      <c r="AE1220" t="s">
        <v>2969</v>
      </c>
    </row>
    <row r="1221" spans="1:31" x14ac:dyDescent="0.2">
      <c r="A1221" t="s">
        <v>31</v>
      </c>
      <c r="B1221">
        <v>2026</v>
      </c>
      <c r="C1221">
        <v>51</v>
      </c>
      <c r="D1221" s="1">
        <v>46150</v>
      </c>
      <c r="E1221" t="s">
        <v>63</v>
      </c>
      <c r="F1221" t="s">
        <v>2120</v>
      </c>
      <c r="G1221" t="s">
        <v>1820</v>
      </c>
      <c r="H1221" t="s">
        <v>36</v>
      </c>
      <c r="I1221" t="s">
        <v>36</v>
      </c>
      <c r="J1221" t="s">
        <v>37</v>
      </c>
      <c r="K1221">
        <v>142</v>
      </c>
      <c r="L1221">
        <v>8</v>
      </c>
      <c r="M1221">
        <v>147</v>
      </c>
      <c r="N1221">
        <v>2</v>
      </c>
      <c r="O1221" t="s">
        <v>36</v>
      </c>
      <c r="P1221" t="s">
        <v>38</v>
      </c>
      <c r="Q1221">
        <v>0</v>
      </c>
      <c r="R1221">
        <v>8</v>
      </c>
      <c r="S1221" t="s">
        <v>3003</v>
      </c>
      <c r="T1221" t="s">
        <v>1461</v>
      </c>
      <c r="U1221" t="s">
        <v>989</v>
      </c>
      <c r="V1221" t="s">
        <v>1193</v>
      </c>
      <c r="W1221" t="s">
        <v>2805</v>
      </c>
      <c r="X1221" t="s">
        <v>2722</v>
      </c>
      <c r="Y1221" t="s">
        <v>45</v>
      </c>
      <c r="Z1221">
        <v>20</v>
      </c>
      <c r="AA1221">
        <v>6</v>
      </c>
      <c r="AB1221" t="s">
        <v>46</v>
      </c>
      <c r="AC1221" t="s">
        <v>47</v>
      </c>
      <c r="AD1221" t="s">
        <v>3004</v>
      </c>
      <c r="AE1221" t="s">
        <v>3005</v>
      </c>
    </row>
    <row r="1222" spans="1:31" x14ac:dyDescent="0.2">
      <c r="A1222" t="s">
        <v>31</v>
      </c>
      <c r="B1222">
        <v>2026</v>
      </c>
      <c r="C1222">
        <v>52</v>
      </c>
      <c r="D1222" s="1">
        <v>46151</v>
      </c>
      <c r="E1222" t="s">
        <v>95</v>
      </c>
      <c r="F1222" t="s">
        <v>2445</v>
      </c>
      <c r="G1222" t="s">
        <v>2214</v>
      </c>
      <c r="H1222" t="s">
        <v>66</v>
      </c>
      <c r="I1222" t="s">
        <v>66</v>
      </c>
      <c r="J1222" t="s">
        <v>37</v>
      </c>
      <c r="K1222">
        <v>229</v>
      </c>
      <c r="L1222">
        <v>4</v>
      </c>
      <c r="M1222">
        <v>152</v>
      </c>
      <c r="N1222">
        <v>10</v>
      </c>
      <c r="O1222" t="s">
        <v>2214</v>
      </c>
      <c r="P1222" t="s">
        <v>38</v>
      </c>
      <c r="Q1222">
        <v>77</v>
      </c>
      <c r="R1222">
        <v>0</v>
      </c>
      <c r="S1222" t="s">
        <v>1562</v>
      </c>
      <c r="T1222" t="s">
        <v>2425</v>
      </c>
      <c r="U1222" t="s">
        <v>1728</v>
      </c>
      <c r="V1222" t="s">
        <v>939</v>
      </c>
      <c r="W1222" t="s">
        <v>2977</v>
      </c>
      <c r="X1222" t="s">
        <v>2732</v>
      </c>
      <c r="Y1222" t="s">
        <v>45</v>
      </c>
      <c r="Z1222">
        <v>20</v>
      </c>
      <c r="AA1222">
        <v>6</v>
      </c>
      <c r="AB1222" t="s">
        <v>46</v>
      </c>
      <c r="AC1222" t="s">
        <v>47</v>
      </c>
      <c r="AD1222" t="s">
        <v>3006</v>
      </c>
      <c r="AE1222" t="s">
        <v>3007</v>
      </c>
    </row>
    <row r="1223" spans="1:31" x14ac:dyDescent="0.2">
      <c r="A1223" t="s">
        <v>31</v>
      </c>
      <c r="B1223">
        <v>2026</v>
      </c>
      <c r="C1223">
        <v>53</v>
      </c>
      <c r="D1223" s="1">
        <v>46152</v>
      </c>
      <c r="E1223" t="s">
        <v>108</v>
      </c>
      <c r="F1223" t="s">
        <v>2072</v>
      </c>
      <c r="G1223" t="s">
        <v>2213</v>
      </c>
      <c r="H1223" t="s">
        <v>53</v>
      </c>
      <c r="I1223" t="s">
        <v>53</v>
      </c>
      <c r="J1223" t="s">
        <v>37</v>
      </c>
      <c r="K1223">
        <v>203</v>
      </c>
      <c r="L1223">
        <v>8</v>
      </c>
      <c r="M1223">
        <v>208</v>
      </c>
      <c r="N1223">
        <v>5</v>
      </c>
      <c r="O1223" t="s">
        <v>53</v>
      </c>
      <c r="P1223" t="s">
        <v>38</v>
      </c>
      <c r="Q1223">
        <v>0</v>
      </c>
      <c r="R1223">
        <v>5</v>
      </c>
      <c r="S1223" t="s">
        <v>3008</v>
      </c>
      <c r="T1223" t="s">
        <v>2215</v>
      </c>
      <c r="U1223" t="s">
        <v>2810</v>
      </c>
      <c r="V1223" t="s">
        <v>2636</v>
      </c>
      <c r="W1223" t="s">
        <v>2375</v>
      </c>
      <c r="X1223" t="s">
        <v>2995</v>
      </c>
      <c r="Y1223" t="s">
        <v>45</v>
      </c>
      <c r="Z1223">
        <v>20</v>
      </c>
      <c r="AA1223">
        <v>6</v>
      </c>
      <c r="AB1223" t="s">
        <v>46</v>
      </c>
      <c r="AC1223" t="s">
        <v>47</v>
      </c>
      <c r="AD1223" t="s">
        <v>3009</v>
      </c>
      <c r="AE1223" t="s">
        <v>3010</v>
      </c>
    </row>
    <row r="1224" spans="1:31" x14ac:dyDescent="0.2">
      <c r="A1224" t="s">
        <v>31</v>
      </c>
      <c r="B1224">
        <v>2026</v>
      </c>
      <c r="C1224">
        <v>54</v>
      </c>
      <c r="D1224" s="1">
        <v>46152</v>
      </c>
      <c r="E1224" t="s">
        <v>1051</v>
      </c>
      <c r="F1224" t="s">
        <v>3011</v>
      </c>
      <c r="G1224" t="s">
        <v>87</v>
      </c>
      <c r="H1224" t="s">
        <v>2562</v>
      </c>
      <c r="I1224" t="s">
        <v>2562</v>
      </c>
      <c r="J1224" t="s">
        <v>37</v>
      </c>
      <c r="K1224">
        <v>166</v>
      </c>
      <c r="L1224">
        <v>7</v>
      </c>
      <c r="M1224">
        <v>167</v>
      </c>
      <c r="N1224">
        <v>8</v>
      </c>
      <c r="O1224" t="s">
        <v>2562</v>
      </c>
      <c r="P1224" t="s">
        <v>38</v>
      </c>
      <c r="Q1224">
        <v>0</v>
      </c>
      <c r="R1224">
        <v>2</v>
      </c>
      <c r="S1224" t="s">
        <v>1186</v>
      </c>
      <c r="T1224" t="s">
        <v>1461</v>
      </c>
      <c r="U1224" t="s">
        <v>1193</v>
      </c>
      <c r="V1224" t="s">
        <v>2722</v>
      </c>
      <c r="W1224" t="s">
        <v>989</v>
      </c>
      <c r="X1224" t="s">
        <v>2805</v>
      </c>
      <c r="Y1224" t="s">
        <v>45</v>
      </c>
      <c r="Z1224">
        <v>20</v>
      </c>
      <c r="AA1224">
        <v>6</v>
      </c>
      <c r="AB1224" t="s">
        <v>46</v>
      </c>
      <c r="AC1224" t="s">
        <v>47</v>
      </c>
      <c r="AD1224" t="s">
        <v>3012</v>
      </c>
      <c r="AE1224" t="s">
        <v>3013</v>
      </c>
    </row>
    <row r="1225" spans="1:31" x14ac:dyDescent="0.2">
      <c r="A1225" t="s">
        <v>31</v>
      </c>
      <c r="B1225">
        <v>2026</v>
      </c>
      <c r="C1225">
        <v>55</v>
      </c>
      <c r="D1225" s="1">
        <v>46153</v>
      </c>
      <c r="E1225" t="s">
        <v>578</v>
      </c>
      <c r="F1225" t="s">
        <v>2537</v>
      </c>
      <c r="G1225" t="s">
        <v>2080</v>
      </c>
      <c r="H1225" t="s">
        <v>1820</v>
      </c>
      <c r="I1225" t="s">
        <v>1820</v>
      </c>
      <c r="J1225" t="s">
        <v>37</v>
      </c>
      <c r="K1225">
        <v>210</v>
      </c>
      <c r="L1225">
        <v>5</v>
      </c>
      <c r="M1225">
        <v>216</v>
      </c>
      <c r="N1225">
        <v>7</v>
      </c>
      <c r="O1225" t="s">
        <v>1820</v>
      </c>
      <c r="P1225" t="s">
        <v>38</v>
      </c>
      <c r="Q1225">
        <v>0</v>
      </c>
      <c r="R1225">
        <v>3</v>
      </c>
      <c r="S1225" t="s">
        <v>3014</v>
      </c>
      <c r="T1225" t="s">
        <v>2517</v>
      </c>
      <c r="U1225" t="s">
        <v>2666</v>
      </c>
      <c r="V1225" t="s">
        <v>463</v>
      </c>
      <c r="W1225" t="s">
        <v>2725</v>
      </c>
      <c r="X1225" t="s">
        <v>2479</v>
      </c>
      <c r="Y1225" t="s">
        <v>45</v>
      </c>
      <c r="Z1225">
        <v>20</v>
      </c>
      <c r="AA1225">
        <v>6</v>
      </c>
      <c r="AB1225" t="s">
        <v>46</v>
      </c>
      <c r="AC1225" t="s">
        <v>47</v>
      </c>
      <c r="AD1225" t="s">
        <v>3015</v>
      </c>
      <c r="AE1225" t="s">
        <v>3016</v>
      </c>
    </row>
    <row r="1226" spans="1:31" x14ac:dyDescent="0.2">
      <c r="A1226" t="s">
        <v>31</v>
      </c>
      <c r="B1226">
        <v>2026</v>
      </c>
      <c r="C1226">
        <v>56</v>
      </c>
      <c r="D1226" s="1">
        <v>46154</v>
      </c>
      <c r="E1226" t="s">
        <v>458</v>
      </c>
      <c r="F1226" t="s">
        <v>2115</v>
      </c>
      <c r="G1226" t="s">
        <v>2214</v>
      </c>
      <c r="H1226" t="s">
        <v>968</v>
      </c>
      <c r="I1226" t="s">
        <v>968</v>
      </c>
      <c r="J1226" t="s">
        <v>37</v>
      </c>
      <c r="K1226">
        <v>168</v>
      </c>
      <c r="L1226">
        <v>5</v>
      </c>
      <c r="M1226">
        <v>86</v>
      </c>
      <c r="N1226">
        <v>10</v>
      </c>
      <c r="O1226" t="s">
        <v>2214</v>
      </c>
      <c r="P1226" t="s">
        <v>38</v>
      </c>
      <c r="Q1226">
        <v>82</v>
      </c>
      <c r="R1226">
        <v>0</v>
      </c>
      <c r="S1226" t="s">
        <v>1859</v>
      </c>
      <c r="T1226" t="s">
        <v>2425</v>
      </c>
      <c r="U1226" t="s">
        <v>1728</v>
      </c>
      <c r="V1226" t="s">
        <v>939</v>
      </c>
      <c r="W1226" t="s">
        <v>2977</v>
      </c>
      <c r="X1226" t="s">
        <v>2732</v>
      </c>
      <c r="Y1226" t="s">
        <v>45</v>
      </c>
      <c r="Z1226">
        <v>20</v>
      </c>
      <c r="AA1226">
        <v>6</v>
      </c>
      <c r="AB1226" t="s">
        <v>46</v>
      </c>
      <c r="AC1226" t="s">
        <v>47</v>
      </c>
      <c r="AD1226" t="s">
        <v>3017</v>
      </c>
      <c r="AE1226" t="s">
        <v>3018</v>
      </c>
    </row>
    <row r="1227" spans="1:31" x14ac:dyDescent="0.2">
      <c r="A1227" t="s">
        <v>31</v>
      </c>
      <c r="B1227">
        <v>2026</v>
      </c>
      <c r="C1227">
        <v>57</v>
      </c>
      <c r="D1227" s="1">
        <v>46155</v>
      </c>
      <c r="E1227" t="s">
        <v>1051</v>
      </c>
      <c r="F1227" t="s">
        <v>3011</v>
      </c>
      <c r="G1227" t="s">
        <v>36</v>
      </c>
      <c r="H1227" t="s">
        <v>2562</v>
      </c>
      <c r="I1227" t="s">
        <v>2562</v>
      </c>
      <c r="J1227" t="s">
        <v>37</v>
      </c>
      <c r="K1227">
        <v>192</v>
      </c>
      <c r="L1227">
        <v>4</v>
      </c>
      <c r="M1227">
        <v>194</v>
      </c>
      <c r="N1227">
        <v>4</v>
      </c>
      <c r="O1227" t="s">
        <v>2562</v>
      </c>
      <c r="P1227" t="s">
        <v>38</v>
      </c>
      <c r="Q1227">
        <v>0</v>
      </c>
      <c r="R1227">
        <v>6</v>
      </c>
      <c r="S1227" t="s">
        <v>678</v>
      </c>
      <c r="T1227" t="s">
        <v>2849</v>
      </c>
      <c r="U1227" t="s">
        <v>989</v>
      </c>
      <c r="V1227" t="s">
        <v>1193</v>
      </c>
      <c r="W1227" t="s">
        <v>2722</v>
      </c>
      <c r="X1227" t="s">
        <v>2805</v>
      </c>
      <c r="Y1227" t="s">
        <v>45</v>
      </c>
      <c r="Z1227">
        <v>20</v>
      </c>
      <c r="AA1227">
        <v>6</v>
      </c>
      <c r="AB1227" t="s">
        <v>46</v>
      </c>
      <c r="AC1227" t="s">
        <v>47</v>
      </c>
      <c r="AD1227" t="s">
        <v>3019</v>
      </c>
      <c r="AE1227" t="s">
        <v>3020</v>
      </c>
    </row>
    <row r="1228" spans="1:31" x14ac:dyDescent="0.2">
      <c r="A1228" t="s">
        <v>31</v>
      </c>
      <c r="B1228">
        <v>2026</v>
      </c>
      <c r="C1228">
        <v>58</v>
      </c>
      <c r="D1228" s="1">
        <v>46156</v>
      </c>
      <c r="E1228" t="s">
        <v>578</v>
      </c>
      <c r="F1228" t="s">
        <v>2537</v>
      </c>
      <c r="G1228" t="s">
        <v>2080</v>
      </c>
      <c r="H1228" t="s">
        <v>87</v>
      </c>
      <c r="I1228" t="s">
        <v>87</v>
      </c>
      <c r="J1228" t="s">
        <v>37</v>
      </c>
      <c r="K1228">
        <v>200</v>
      </c>
      <c r="L1228">
        <v>8</v>
      </c>
      <c r="M1228">
        <v>205</v>
      </c>
      <c r="N1228">
        <v>4</v>
      </c>
      <c r="O1228" t="s">
        <v>87</v>
      </c>
      <c r="P1228" t="s">
        <v>38</v>
      </c>
      <c r="Q1228">
        <v>0</v>
      </c>
      <c r="R1228">
        <v>6</v>
      </c>
      <c r="S1228" t="s">
        <v>2959</v>
      </c>
      <c r="T1228" t="s">
        <v>2517</v>
      </c>
      <c r="U1228" t="s">
        <v>2666</v>
      </c>
      <c r="V1228" t="s">
        <v>463</v>
      </c>
      <c r="W1228" t="s">
        <v>2725</v>
      </c>
      <c r="X1228" t="s">
        <v>2479</v>
      </c>
      <c r="Y1228" t="s">
        <v>45</v>
      </c>
      <c r="Z1228">
        <v>20</v>
      </c>
      <c r="AA1228">
        <v>6</v>
      </c>
      <c r="AB1228" t="s">
        <v>46</v>
      </c>
      <c r="AC1228" t="s">
        <v>47</v>
      </c>
      <c r="AD1228" t="s">
        <v>3021</v>
      </c>
      <c r="AE1228" t="s">
        <v>3022</v>
      </c>
    </row>
    <row r="1229" spans="1:31" x14ac:dyDescent="0.2">
      <c r="A1229" t="s">
        <v>31</v>
      </c>
      <c r="B1229">
        <v>2026</v>
      </c>
      <c r="C1229">
        <v>59</v>
      </c>
      <c r="D1229" s="1">
        <v>46157</v>
      </c>
      <c r="E1229" t="s">
        <v>2383</v>
      </c>
      <c r="F1229" t="s">
        <v>2384</v>
      </c>
      <c r="G1229" t="s">
        <v>53</v>
      </c>
      <c r="H1229" t="s">
        <v>2213</v>
      </c>
      <c r="I1229" t="s">
        <v>2213</v>
      </c>
      <c r="J1229" t="s">
        <v>37</v>
      </c>
      <c r="K1229">
        <v>187</v>
      </c>
      <c r="L1229">
        <v>5</v>
      </c>
      <c r="M1229">
        <v>188</v>
      </c>
      <c r="N1229">
        <v>3</v>
      </c>
      <c r="O1229" t="s">
        <v>2213</v>
      </c>
      <c r="P1229" t="s">
        <v>38</v>
      </c>
      <c r="Q1229">
        <v>0</v>
      </c>
      <c r="R1229">
        <v>7</v>
      </c>
      <c r="S1229" t="s">
        <v>729</v>
      </c>
      <c r="T1229" t="s">
        <v>2215</v>
      </c>
      <c r="U1229" t="s">
        <v>2995</v>
      </c>
      <c r="V1229" t="s">
        <v>1210</v>
      </c>
      <c r="W1229" t="s">
        <v>455</v>
      </c>
      <c r="X1229" t="s">
        <v>2636</v>
      </c>
      <c r="Y1229" t="s">
        <v>45</v>
      </c>
      <c r="Z1229">
        <v>20</v>
      </c>
      <c r="AA1229">
        <v>6</v>
      </c>
      <c r="AB1229" t="s">
        <v>46</v>
      </c>
      <c r="AC1229" t="s">
        <v>47</v>
      </c>
      <c r="AD1229" t="s">
        <v>3023</v>
      </c>
      <c r="AE1229" t="s">
        <v>3024</v>
      </c>
    </row>
    <row r="1230" spans="1:31" x14ac:dyDescent="0.2">
      <c r="A1230" t="s">
        <v>31</v>
      </c>
      <c r="B1230">
        <v>2026</v>
      </c>
      <c r="C1230">
        <v>60</v>
      </c>
      <c r="D1230" s="1">
        <v>46158</v>
      </c>
      <c r="E1230" t="s">
        <v>75</v>
      </c>
      <c r="F1230" t="s">
        <v>2368</v>
      </c>
      <c r="G1230" t="s">
        <v>36</v>
      </c>
      <c r="H1230" t="s">
        <v>2214</v>
      </c>
      <c r="I1230" t="s">
        <v>2214</v>
      </c>
      <c r="J1230" t="s">
        <v>37</v>
      </c>
      <c r="K1230">
        <v>247</v>
      </c>
      <c r="L1230">
        <v>2</v>
      </c>
      <c r="M1230">
        <v>218</v>
      </c>
      <c r="N1230">
        <v>4</v>
      </c>
      <c r="O1230" t="s">
        <v>36</v>
      </c>
      <c r="P1230" t="s">
        <v>38</v>
      </c>
      <c r="Q1230">
        <v>29</v>
      </c>
      <c r="R1230">
        <v>0</v>
      </c>
      <c r="S1230" t="s">
        <v>835</v>
      </c>
      <c r="T1230" t="s">
        <v>2425</v>
      </c>
      <c r="U1230" t="s">
        <v>2642</v>
      </c>
      <c r="V1230" t="s">
        <v>939</v>
      </c>
      <c r="W1230" t="s">
        <v>2977</v>
      </c>
      <c r="X1230" t="s">
        <v>2732</v>
      </c>
      <c r="Y1230" t="s">
        <v>45</v>
      </c>
      <c r="Z1230">
        <v>20</v>
      </c>
      <c r="AA1230">
        <v>6</v>
      </c>
      <c r="AB1230" t="s">
        <v>46</v>
      </c>
      <c r="AC1230" t="s">
        <v>47</v>
      </c>
      <c r="AD1230" t="s">
        <v>3025</v>
      </c>
      <c r="AE1230" t="s">
        <v>3026</v>
      </c>
    </row>
    <row r="1231" spans="1:31" x14ac:dyDescent="0.2">
      <c r="A1231" t="s">
        <v>31</v>
      </c>
      <c r="B1231">
        <v>2026</v>
      </c>
      <c r="C1231">
        <v>61</v>
      </c>
      <c r="D1231" s="1">
        <v>46159</v>
      </c>
      <c r="E1231" t="s">
        <v>578</v>
      </c>
      <c r="F1231" t="s">
        <v>2537</v>
      </c>
      <c r="G1231" t="s">
        <v>2562</v>
      </c>
      <c r="H1231" t="s">
        <v>2080</v>
      </c>
      <c r="I1231" t="s">
        <v>2080</v>
      </c>
      <c r="J1231" t="s">
        <v>37</v>
      </c>
      <c r="K1231">
        <v>222</v>
      </c>
      <c r="L1231">
        <v>4</v>
      </c>
      <c r="M1231">
        <v>199</v>
      </c>
      <c r="N1231">
        <v>8</v>
      </c>
      <c r="O1231" t="s">
        <v>2562</v>
      </c>
      <c r="P1231" t="s">
        <v>38</v>
      </c>
      <c r="Q1231">
        <v>23</v>
      </c>
      <c r="R1231">
        <v>0</v>
      </c>
      <c r="S1231" t="s">
        <v>2199</v>
      </c>
      <c r="T1231" t="s">
        <v>2517</v>
      </c>
      <c r="U1231" t="s">
        <v>2725</v>
      </c>
      <c r="V1231" t="s">
        <v>463</v>
      </c>
      <c r="W1231" t="s">
        <v>2479</v>
      </c>
      <c r="X1231" t="s">
        <v>2666</v>
      </c>
      <c r="Y1231" t="s">
        <v>45</v>
      </c>
      <c r="Z1231">
        <v>20</v>
      </c>
      <c r="AA1231">
        <v>6</v>
      </c>
      <c r="AB1231" t="s">
        <v>46</v>
      </c>
      <c r="AC1231" t="s">
        <v>47</v>
      </c>
      <c r="AD1231" t="s">
        <v>3027</v>
      </c>
      <c r="AE1231" t="s">
        <v>3028</v>
      </c>
    </row>
    <row r="1232" spans="1:31" x14ac:dyDescent="0.2">
      <c r="A1232" t="s">
        <v>31</v>
      </c>
      <c r="B1232">
        <v>2026</v>
      </c>
      <c r="C1232">
        <v>62</v>
      </c>
      <c r="D1232" s="1">
        <v>46159</v>
      </c>
      <c r="E1232" t="s">
        <v>63</v>
      </c>
      <c r="F1232" t="s">
        <v>2120</v>
      </c>
      <c r="G1232" t="s">
        <v>66</v>
      </c>
      <c r="H1232" t="s">
        <v>1820</v>
      </c>
      <c r="I1232" t="s">
        <v>1820</v>
      </c>
      <c r="J1232" t="s">
        <v>37</v>
      </c>
      <c r="K1232">
        <v>193</v>
      </c>
      <c r="L1232">
        <v>8</v>
      </c>
      <c r="M1232">
        <v>197</v>
      </c>
      <c r="N1232">
        <v>5</v>
      </c>
      <c r="O1232" t="s">
        <v>1820</v>
      </c>
      <c r="P1232" t="s">
        <v>38</v>
      </c>
      <c r="Q1232">
        <v>0</v>
      </c>
      <c r="R1232">
        <v>5</v>
      </c>
      <c r="S1232" t="s">
        <v>1325</v>
      </c>
      <c r="T1232" t="s">
        <v>2215</v>
      </c>
      <c r="U1232" t="s">
        <v>2810</v>
      </c>
      <c r="V1232" t="s">
        <v>2636</v>
      </c>
      <c r="W1232" t="s">
        <v>455</v>
      </c>
      <c r="X1232" t="s">
        <v>2995</v>
      </c>
      <c r="Y1232" t="s">
        <v>45</v>
      </c>
      <c r="Z1232">
        <v>20</v>
      </c>
      <c r="AA1232">
        <v>6</v>
      </c>
      <c r="AB1232" t="s">
        <v>46</v>
      </c>
      <c r="AC1232" t="s">
        <v>47</v>
      </c>
      <c r="AD1232" t="s">
        <v>3029</v>
      </c>
      <c r="AE1232" t="s">
        <v>3030</v>
      </c>
    </row>
    <row r="1233" spans="1:31" x14ac:dyDescent="0.2">
      <c r="A1233" t="s">
        <v>31</v>
      </c>
      <c r="B1233">
        <v>2026</v>
      </c>
      <c r="C1233">
        <v>63</v>
      </c>
      <c r="D1233" s="1">
        <v>46160</v>
      </c>
      <c r="E1233" t="s">
        <v>108</v>
      </c>
      <c r="F1233" t="s">
        <v>2072</v>
      </c>
      <c r="G1233" t="s">
        <v>53</v>
      </c>
      <c r="H1233" t="s">
        <v>968</v>
      </c>
      <c r="I1233" t="s">
        <v>53</v>
      </c>
      <c r="J1233" t="s">
        <v>54</v>
      </c>
      <c r="K1233">
        <v>180</v>
      </c>
      <c r="L1233">
        <v>7</v>
      </c>
      <c r="M1233">
        <v>181</v>
      </c>
      <c r="N1233">
        <v>5</v>
      </c>
      <c r="O1233" t="s">
        <v>968</v>
      </c>
      <c r="P1233" t="s">
        <v>38</v>
      </c>
      <c r="Q1233">
        <v>0</v>
      </c>
      <c r="R1233">
        <v>5</v>
      </c>
      <c r="S1233" t="s">
        <v>1771</v>
      </c>
      <c r="T1233" t="s">
        <v>2849</v>
      </c>
      <c r="U1233" t="s">
        <v>989</v>
      </c>
      <c r="V1233" t="s">
        <v>2722</v>
      </c>
      <c r="W1233" t="s">
        <v>2771</v>
      </c>
      <c r="X1233" t="s">
        <v>2805</v>
      </c>
      <c r="Y1233" t="s">
        <v>45</v>
      </c>
      <c r="Z1233">
        <v>20</v>
      </c>
      <c r="AA1233">
        <v>6</v>
      </c>
      <c r="AB1233" t="s">
        <v>46</v>
      </c>
      <c r="AC1233" t="s">
        <v>47</v>
      </c>
      <c r="AD1233" t="s">
        <v>3031</v>
      </c>
      <c r="AE1233" t="s">
        <v>3032</v>
      </c>
    </row>
    <row r="1234" spans="1:31" x14ac:dyDescent="0.2">
      <c r="A1234" t="s">
        <v>31</v>
      </c>
      <c r="B1234">
        <v>2026</v>
      </c>
      <c r="C1234">
        <v>64</v>
      </c>
      <c r="D1234" s="1">
        <v>46161</v>
      </c>
      <c r="E1234" t="s">
        <v>95</v>
      </c>
      <c r="F1234" t="s">
        <v>2445</v>
      </c>
      <c r="G1234" t="s">
        <v>2213</v>
      </c>
      <c r="H1234" t="s">
        <v>66</v>
      </c>
      <c r="I1234" t="s">
        <v>66</v>
      </c>
      <c r="J1234" t="s">
        <v>37</v>
      </c>
      <c r="K1234">
        <v>220</v>
      </c>
      <c r="L1234">
        <v>5</v>
      </c>
      <c r="M1234">
        <v>225</v>
      </c>
      <c r="N1234">
        <v>3</v>
      </c>
      <c r="O1234" t="s">
        <v>66</v>
      </c>
      <c r="P1234" t="s">
        <v>38</v>
      </c>
      <c r="Q1234">
        <v>0</v>
      </c>
      <c r="R1234">
        <v>7</v>
      </c>
      <c r="S1234" t="s">
        <v>2829</v>
      </c>
      <c r="T1234" t="s">
        <v>2816</v>
      </c>
      <c r="U1234" t="s">
        <v>2725</v>
      </c>
      <c r="V1234" t="s">
        <v>2479</v>
      </c>
      <c r="W1234" t="s">
        <v>2666</v>
      </c>
      <c r="X1234" t="s">
        <v>2228</v>
      </c>
      <c r="Y1234" t="s">
        <v>45</v>
      </c>
      <c r="Z1234">
        <v>20</v>
      </c>
      <c r="AA1234">
        <v>6</v>
      </c>
      <c r="AB1234" t="s">
        <v>46</v>
      </c>
      <c r="AC1234" t="s">
        <v>47</v>
      </c>
      <c r="AD1234" t="s">
        <v>3033</v>
      </c>
      <c r="AE1234" t="s">
        <v>3034</v>
      </c>
    </row>
    <row r="1235" spans="1:31" x14ac:dyDescent="0.2">
      <c r="A1235" t="s">
        <v>31</v>
      </c>
      <c r="B1235">
        <v>2026</v>
      </c>
      <c r="C1235">
        <v>65</v>
      </c>
      <c r="D1235" s="1">
        <v>46162</v>
      </c>
      <c r="E1235" t="s">
        <v>75</v>
      </c>
      <c r="F1235" t="s">
        <v>2368</v>
      </c>
      <c r="G1235" t="s">
        <v>87</v>
      </c>
      <c r="H1235" t="s">
        <v>36</v>
      </c>
      <c r="I1235" t="s">
        <v>36</v>
      </c>
      <c r="J1235" t="s">
        <v>37</v>
      </c>
      <c r="K1235">
        <v>147</v>
      </c>
      <c r="L1235">
        <v>8</v>
      </c>
      <c r="M1235">
        <v>148</v>
      </c>
      <c r="N1235">
        <v>6</v>
      </c>
      <c r="O1235" t="s">
        <v>36</v>
      </c>
      <c r="P1235" t="s">
        <v>38</v>
      </c>
      <c r="Q1235">
        <v>0</v>
      </c>
      <c r="R1235">
        <v>4</v>
      </c>
      <c r="S1235" t="s">
        <v>429</v>
      </c>
      <c r="T1235" t="s">
        <v>2425</v>
      </c>
      <c r="U1235" t="s">
        <v>2642</v>
      </c>
      <c r="V1235" t="s">
        <v>1728</v>
      </c>
      <c r="W1235" t="s">
        <v>2466</v>
      </c>
      <c r="X1235" t="s">
        <v>2732</v>
      </c>
      <c r="Y1235" t="s">
        <v>45</v>
      </c>
      <c r="Z1235">
        <v>20</v>
      </c>
      <c r="AA1235">
        <v>6</v>
      </c>
      <c r="AB1235" t="s">
        <v>46</v>
      </c>
      <c r="AC1235" t="s">
        <v>47</v>
      </c>
      <c r="AD1235" t="s">
        <v>3035</v>
      </c>
      <c r="AE1235" t="s">
        <v>3036</v>
      </c>
    </row>
    <row r="1236" spans="1:31" x14ac:dyDescent="0.2">
      <c r="A1236" t="s">
        <v>31</v>
      </c>
      <c r="B1236">
        <v>2026</v>
      </c>
      <c r="C1236">
        <v>66</v>
      </c>
      <c r="D1236" s="1">
        <v>46163</v>
      </c>
      <c r="E1236" t="s">
        <v>458</v>
      </c>
      <c r="F1236" t="s">
        <v>2115</v>
      </c>
      <c r="G1236" t="s">
        <v>2214</v>
      </c>
      <c r="H1236" t="s">
        <v>53</v>
      </c>
      <c r="I1236" t="s">
        <v>53</v>
      </c>
      <c r="J1236" t="s">
        <v>37</v>
      </c>
      <c r="K1236">
        <v>229</v>
      </c>
      <c r="L1236">
        <v>4</v>
      </c>
      <c r="M1236">
        <v>140</v>
      </c>
      <c r="N1236">
        <v>10</v>
      </c>
      <c r="O1236" t="s">
        <v>2214</v>
      </c>
      <c r="P1236" t="s">
        <v>38</v>
      </c>
      <c r="Q1236">
        <v>89</v>
      </c>
      <c r="R1236">
        <v>0</v>
      </c>
      <c r="S1236" t="s">
        <v>1661</v>
      </c>
      <c r="T1236" t="s">
        <v>2849</v>
      </c>
      <c r="U1236" t="s">
        <v>2805</v>
      </c>
      <c r="V1236" t="s">
        <v>989</v>
      </c>
      <c r="W1236" t="s">
        <v>939</v>
      </c>
      <c r="X1236" t="s">
        <v>2722</v>
      </c>
      <c r="Y1236" t="s">
        <v>45</v>
      </c>
      <c r="Z1236">
        <v>20</v>
      </c>
      <c r="AA1236">
        <v>6</v>
      </c>
      <c r="AB1236" t="s">
        <v>46</v>
      </c>
      <c r="AC1236" t="s">
        <v>47</v>
      </c>
      <c r="AD1236" t="s">
        <v>3037</v>
      </c>
      <c r="AE1236" t="s">
        <v>3038</v>
      </c>
    </row>
    <row r="1237" spans="1:31" x14ac:dyDescent="0.2">
      <c r="A1237" t="s">
        <v>31</v>
      </c>
      <c r="B1237">
        <v>2026</v>
      </c>
      <c r="C1237">
        <v>67</v>
      </c>
      <c r="D1237" s="1">
        <v>46164</v>
      </c>
      <c r="E1237" t="s">
        <v>101</v>
      </c>
      <c r="F1237" t="s">
        <v>2389</v>
      </c>
      <c r="G1237" t="s">
        <v>968</v>
      </c>
      <c r="H1237" t="s">
        <v>2562</v>
      </c>
      <c r="I1237" t="s">
        <v>968</v>
      </c>
      <c r="J1237" t="s">
        <v>54</v>
      </c>
      <c r="K1237">
        <v>255</v>
      </c>
      <c r="L1237">
        <v>4</v>
      </c>
      <c r="M1237">
        <v>200</v>
      </c>
      <c r="N1237">
        <v>4</v>
      </c>
      <c r="O1237" t="s">
        <v>968</v>
      </c>
      <c r="P1237" t="s">
        <v>38</v>
      </c>
      <c r="Q1237">
        <v>55</v>
      </c>
      <c r="R1237">
        <v>0</v>
      </c>
      <c r="S1237" t="s">
        <v>1771</v>
      </c>
      <c r="T1237" t="s">
        <v>2215</v>
      </c>
      <c r="U1237" t="s">
        <v>2810</v>
      </c>
      <c r="V1237" t="s">
        <v>455</v>
      </c>
      <c r="W1237" t="s">
        <v>2636</v>
      </c>
      <c r="X1237" t="s">
        <v>2995</v>
      </c>
      <c r="Y1237" t="s">
        <v>45</v>
      </c>
      <c r="Z1237">
        <v>20</v>
      </c>
      <c r="AA1237">
        <v>6</v>
      </c>
      <c r="AB1237" t="s">
        <v>46</v>
      </c>
      <c r="AC1237" t="s">
        <v>47</v>
      </c>
      <c r="AD1237" t="s">
        <v>3039</v>
      </c>
      <c r="AE1237" t="s">
        <v>3040</v>
      </c>
    </row>
    <row r="1238" spans="1:31" x14ac:dyDescent="0.2">
      <c r="A1238" t="s">
        <v>31</v>
      </c>
      <c r="B1238">
        <v>2026</v>
      </c>
      <c r="C1238">
        <v>68</v>
      </c>
      <c r="D1238" s="1">
        <v>46165</v>
      </c>
      <c r="E1238" t="s">
        <v>2383</v>
      </c>
      <c r="F1238" t="s">
        <v>2384</v>
      </c>
      <c r="G1238" t="s">
        <v>2213</v>
      </c>
      <c r="H1238" t="s">
        <v>2080</v>
      </c>
      <c r="I1238" t="s">
        <v>2080</v>
      </c>
      <c r="J1238" t="s">
        <v>37</v>
      </c>
      <c r="K1238">
        <v>196</v>
      </c>
      <c r="L1238">
        <v>6</v>
      </c>
      <c r="M1238">
        <v>200</v>
      </c>
      <c r="N1238">
        <v>3</v>
      </c>
      <c r="O1238" t="s">
        <v>2080</v>
      </c>
      <c r="P1238" t="s">
        <v>38</v>
      </c>
      <c r="Q1238">
        <v>0</v>
      </c>
      <c r="R1238">
        <v>7</v>
      </c>
      <c r="S1238" t="s">
        <v>1322</v>
      </c>
      <c r="T1238" t="s">
        <v>2849</v>
      </c>
      <c r="U1238" t="s">
        <v>2805</v>
      </c>
      <c r="V1238" t="s">
        <v>2233</v>
      </c>
      <c r="W1238" t="s">
        <v>2732</v>
      </c>
      <c r="X1238" t="s">
        <v>2722</v>
      </c>
      <c r="Y1238" t="s">
        <v>45</v>
      </c>
      <c r="Z1238">
        <v>20</v>
      </c>
      <c r="AA1238">
        <v>6</v>
      </c>
      <c r="AB1238" t="s">
        <v>46</v>
      </c>
      <c r="AC1238" t="s">
        <v>47</v>
      </c>
      <c r="AD1238" t="s">
        <v>3041</v>
      </c>
      <c r="AE1238" t="s">
        <v>3042</v>
      </c>
    </row>
    <row r="1239" spans="1:31" x14ac:dyDescent="0.2">
      <c r="A1239" t="s">
        <v>31</v>
      </c>
      <c r="B1239">
        <v>2026</v>
      </c>
      <c r="C1239">
        <v>69</v>
      </c>
      <c r="D1239" s="1">
        <v>46166</v>
      </c>
      <c r="E1239" t="s">
        <v>85</v>
      </c>
      <c r="F1239" t="s">
        <v>2075</v>
      </c>
      <c r="G1239" t="s">
        <v>66</v>
      </c>
      <c r="H1239" t="s">
        <v>87</v>
      </c>
      <c r="I1239" t="s">
        <v>87</v>
      </c>
      <c r="J1239" t="s">
        <v>37</v>
      </c>
      <c r="K1239">
        <v>205</v>
      </c>
      <c r="L1239">
        <v>8</v>
      </c>
      <c r="M1239">
        <v>175</v>
      </c>
      <c r="N1239">
        <v>9</v>
      </c>
      <c r="O1239" t="s">
        <v>66</v>
      </c>
      <c r="P1239" t="s">
        <v>38</v>
      </c>
      <c r="Q1239">
        <v>30</v>
      </c>
      <c r="R1239">
        <v>0</v>
      </c>
      <c r="S1239" t="s">
        <v>1727</v>
      </c>
      <c r="T1239" t="s">
        <v>2215</v>
      </c>
      <c r="U1239" t="s">
        <v>1193</v>
      </c>
      <c r="V1239" t="s">
        <v>2995</v>
      </c>
      <c r="W1239" t="s">
        <v>2810</v>
      </c>
      <c r="X1239" t="s">
        <v>2636</v>
      </c>
      <c r="Y1239" t="s">
        <v>45</v>
      </c>
      <c r="Z1239">
        <v>20</v>
      </c>
      <c r="AA1239">
        <v>6</v>
      </c>
      <c r="AB1239" t="s">
        <v>46</v>
      </c>
      <c r="AC1239" t="s">
        <v>47</v>
      </c>
      <c r="AD1239" t="s">
        <v>3043</v>
      </c>
      <c r="AE1239" t="s">
        <v>3044</v>
      </c>
    </row>
    <row r="1240" spans="1:31" x14ac:dyDescent="0.2">
      <c r="A1240" t="s">
        <v>31</v>
      </c>
      <c r="B1240">
        <v>2026</v>
      </c>
      <c r="C1240">
        <v>70</v>
      </c>
      <c r="D1240" s="1">
        <v>46166</v>
      </c>
      <c r="E1240" t="s">
        <v>75</v>
      </c>
      <c r="F1240" t="s">
        <v>2368</v>
      </c>
      <c r="G1240" t="s">
        <v>1820</v>
      </c>
      <c r="H1240" t="s">
        <v>36</v>
      </c>
      <c r="I1240" t="s">
        <v>36</v>
      </c>
      <c r="J1240" t="s">
        <v>37</v>
      </c>
      <c r="K1240">
        <v>203</v>
      </c>
      <c r="L1240">
        <v>5</v>
      </c>
      <c r="M1240">
        <v>163</v>
      </c>
      <c r="N1240">
        <v>10</v>
      </c>
      <c r="O1240" t="s">
        <v>1820</v>
      </c>
      <c r="P1240" t="s">
        <v>38</v>
      </c>
      <c r="Q1240">
        <v>40</v>
      </c>
      <c r="R1240">
        <v>0</v>
      </c>
      <c r="S1240" t="s">
        <v>1789</v>
      </c>
      <c r="T1240" t="s">
        <v>2816</v>
      </c>
      <c r="U1240" t="s">
        <v>2642</v>
      </c>
      <c r="V1240" t="s">
        <v>1728</v>
      </c>
      <c r="W1240" t="s">
        <v>2977</v>
      </c>
      <c r="X1240" t="s">
        <v>2466</v>
      </c>
      <c r="Y1240" t="s">
        <v>45</v>
      </c>
      <c r="Z1240">
        <v>20</v>
      </c>
      <c r="AA1240">
        <v>6</v>
      </c>
      <c r="AB1240" t="s">
        <v>46</v>
      </c>
      <c r="AC1240" t="s">
        <v>47</v>
      </c>
      <c r="AD1240" t="s">
        <v>3045</v>
      </c>
      <c r="AE1240" t="s">
        <v>3046</v>
      </c>
    </row>
    <row r="1241" spans="1:31" x14ac:dyDescent="0.2">
      <c r="A1241" t="s">
        <v>31</v>
      </c>
      <c r="B1241">
        <v>2026</v>
      </c>
      <c r="C1241" t="s">
        <v>256</v>
      </c>
      <c r="D1241" s="1">
        <v>46168</v>
      </c>
      <c r="E1241" t="s">
        <v>578</v>
      </c>
      <c r="F1241" t="s">
        <v>2537</v>
      </c>
      <c r="G1241" t="s">
        <v>2562</v>
      </c>
      <c r="H1241" t="s">
        <v>2214</v>
      </c>
      <c r="I1241" t="s">
        <v>2214</v>
      </c>
      <c r="J1241" t="s">
        <v>37</v>
      </c>
      <c r="K1241">
        <v>254</v>
      </c>
      <c r="L1241">
        <v>5</v>
      </c>
      <c r="M1241">
        <v>162</v>
      </c>
      <c r="N1241">
        <v>10</v>
      </c>
      <c r="O1241" t="s">
        <v>2562</v>
      </c>
      <c r="P1241" t="s">
        <v>38</v>
      </c>
      <c r="Q1241">
        <v>92</v>
      </c>
      <c r="R1241">
        <v>0</v>
      </c>
      <c r="S1241" t="s">
        <v>2370</v>
      </c>
      <c r="T1241" t="s">
        <v>40</v>
      </c>
      <c r="U1241" t="s">
        <v>455</v>
      </c>
      <c r="V1241" t="s">
        <v>939</v>
      </c>
      <c r="W1241" t="s">
        <v>989</v>
      </c>
      <c r="X1241" t="s">
        <v>463</v>
      </c>
      <c r="Y1241" t="s">
        <v>45</v>
      </c>
      <c r="Z1241">
        <v>20</v>
      </c>
      <c r="AA1241">
        <v>6</v>
      </c>
      <c r="AB1241" t="s">
        <v>46</v>
      </c>
      <c r="AC1241" t="s">
        <v>47</v>
      </c>
      <c r="AD1241" t="s">
        <v>3047</v>
      </c>
      <c r="AE1241" t="s">
        <v>3048</v>
      </c>
    </row>
    <row r="1242" spans="1:31" x14ac:dyDescent="0.2">
      <c r="A1242" t="s">
        <v>31</v>
      </c>
      <c r="B1242">
        <v>2026</v>
      </c>
      <c r="C1242" t="s">
        <v>256</v>
      </c>
      <c r="D1242" s="1">
        <v>46169</v>
      </c>
      <c r="E1242" t="s">
        <v>2885</v>
      </c>
      <c r="F1242" t="s">
        <v>2889</v>
      </c>
      <c r="G1242" t="s">
        <v>66</v>
      </c>
      <c r="H1242" t="s">
        <v>968</v>
      </c>
      <c r="I1242" t="s">
        <v>968</v>
      </c>
      <c r="J1242" t="s">
        <v>37</v>
      </c>
      <c r="K1242">
        <v>243</v>
      </c>
      <c r="L1242">
        <v>8</v>
      </c>
      <c r="M1242">
        <v>196</v>
      </c>
      <c r="N1242">
        <v>10</v>
      </c>
      <c r="O1242" t="s">
        <v>66</v>
      </c>
      <c r="P1242" t="s">
        <v>38</v>
      </c>
      <c r="Q1242">
        <v>47</v>
      </c>
      <c r="R1242">
        <v>0</v>
      </c>
      <c r="S1242" t="s">
        <v>2829</v>
      </c>
      <c r="T1242" t="s">
        <v>1553</v>
      </c>
      <c r="U1242" t="s">
        <v>2725</v>
      </c>
      <c r="V1242" t="s">
        <v>1210</v>
      </c>
      <c r="W1242" t="s">
        <v>1193</v>
      </c>
      <c r="X1242" t="s">
        <v>2977</v>
      </c>
      <c r="Y1242" t="s">
        <v>45</v>
      </c>
      <c r="Z1242">
        <v>20</v>
      </c>
      <c r="AA1242">
        <v>6</v>
      </c>
      <c r="AB1242" t="s">
        <v>46</v>
      </c>
      <c r="AC1242" t="s">
        <v>47</v>
      </c>
      <c r="AD1242" t="s">
        <v>3049</v>
      </c>
      <c r="AE1242" t="s">
        <v>3050</v>
      </c>
    </row>
    <row r="1243" spans="1:31" x14ac:dyDescent="0.2">
      <c r="A1243" t="s">
        <v>31</v>
      </c>
      <c r="B1243">
        <v>2026</v>
      </c>
      <c r="C1243" t="s">
        <v>256</v>
      </c>
      <c r="D1243" s="1">
        <v>46171</v>
      </c>
      <c r="E1243" t="s">
        <v>2885</v>
      </c>
      <c r="F1243" t="s">
        <v>2889</v>
      </c>
      <c r="G1243" t="s">
        <v>66</v>
      </c>
      <c r="H1243" t="s">
        <v>2214</v>
      </c>
      <c r="I1243" t="s">
        <v>66</v>
      </c>
      <c r="J1243" t="s">
        <v>54</v>
      </c>
      <c r="K1243">
        <v>214</v>
      </c>
      <c r="L1243">
        <v>6</v>
      </c>
      <c r="M1243">
        <v>219</v>
      </c>
      <c r="N1243">
        <v>3</v>
      </c>
      <c r="O1243" t="s">
        <v>2214</v>
      </c>
      <c r="P1243" t="s">
        <v>38</v>
      </c>
      <c r="Q1243">
        <v>0</v>
      </c>
      <c r="R1243">
        <v>7</v>
      </c>
      <c r="S1243" t="s">
        <v>1930</v>
      </c>
      <c r="T1243" t="s">
        <v>1772</v>
      </c>
      <c r="U1243" t="s">
        <v>1193</v>
      </c>
      <c r="V1243" t="s">
        <v>2977</v>
      </c>
      <c r="W1243" t="s">
        <v>2725</v>
      </c>
      <c r="X1243" t="s">
        <v>1210</v>
      </c>
      <c r="Y1243" t="s">
        <v>45</v>
      </c>
      <c r="Z1243">
        <v>20</v>
      </c>
      <c r="AA1243">
        <v>6</v>
      </c>
      <c r="AB1243" t="s">
        <v>46</v>
      </c>
      <c r="AC1243" t="s">
        <v>47</v>
      </c>
      <c r="AD1243" t="s">
        <v>3051</v>
      </c>
      <c r="AE1243" t="s">
        <v>3052</v>
      </c>
    </row>
    <row r="1244" spans="1:31" x14ac:dyDescent="0.2">
      <c r="A1244" t="s">
        <v>31</v>
      </c>
      <c r="B1244">
        <v>2026</v>
      </c>
      <c r="C1244" t="s">
        <v>256</v>
      </c>
      <c r="D1244" s="1">
        <v>46173</v>
      </c>
      <c r="E1244" t="s">
        <v>458</v>
      </c>
      <c r="F1244" t="s">
        <v>2115</v>
      </c>
      <c r="G1244" t="s">
        <v>2214</v>
      </c>
      <c r="H1244" t="s">
        <v>2562</v>
      </c>
      <c r="I1244" t="s">
        <v>2562</v>
      </c>
      <c r="J1244" t="s">
        <v>37</v>
      </c>
      <c r="K1244">
        <v>155</v>
      </c>
      <c r="L1244">
        <v>8</v>
      </c>
      <c r="M1244">
        <v>161</v>
      </c>
      <c r="N1244">
        <v>5</v>
      </c>
      <c r="O1244" t="s">
        <v>2562</v>
      </c>
      <c r="P1244" t="s">
        <v>38</v>
      </c>
      <c r="Q1244">
        <v>0</v>
      </c>
      <c r="R1244">
        <v>5</v>
      </c>
      <c r="S1244" t="s">
        <v>678</v>
      </c>
      <c r="T1244" t="s">
        <v>40</v>
      </c>
      <c r="U1244" t="s">
        <v>463</v>
      </c>
      <c r="V1244" t="s">
        <v>989</v>
      </c>
      <c r="W1244" t="s">
        <v>455</v>
      </c>
      <c r="X1244" t="s">
        <v>939</v>
      </c>
      <c r="Y1244" t="s">
        <v>45</v>
      </c>
      <c r="Z1244">
        <v>20</v>
      </c>
      <c r="AA1244">
        <v>6</v>
      </c>
      <c r="AB1244" t="s">
        <v>46</v>
      </c>
      <c r="AC1244" t="s">
        <v>47</v>
      </c>
      <c r="AD1244" t="s">
        <v>3053</v>
      </c>
      <c r="AE1244" t="s">
        <v>3054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4C28-7A7E-FA4E-BCBE-FFC6C89501E2}">
  <dimension ref="B5:K25"/>
  <sheetViews>
    <sheetView tabSelected="1" zoomScale="140" zoomScaleNormal="140" workbookViewId="0">
      <selection activeCell="H23" sqref="H23"/>
    </sheetView>
  </sheetViews>
  <sheetFormatPr baseColWidth="10" defaultRowHeight="16" x14ac:dyDescent="0.2"/>
  <cols>
    <col min="7" max="7" width="13.83203125" bestFit="1" customWidth="1"/>
  </cols>
  <sheetData>
    <row r="5" spans="2:11" x14ac:dyDescent="0.2">
      <c r="B5" t="s">
        <v>3055</v>
      </c>
      <c r="C5">
        <f>COUNT(ipl_comprehensive_dataset!C2:C1244)</f>
        <v>1169</v>
      </c>
    </row>
    <row r="7" spans="2:11" x14ac:dyDescent="0.2">
      <c r="B7" t="s">
        <v>3056</v>
      </c>
      <c r="C7">
        <f>SUM(ipl_comprehensive_dataset!M:M,ipl_comprehensive_dataset!K:K)</f>
        <v>401738</v>
      </c>
      <c r="E7" t="s">
        <v>3057</v>
      </c>
      <c r="F7">
        <f>SUM(ipl_comprehensive_dataset!K:K)</f>
        <v>206153</v>
      </c>
    </row>
    <row r="8" spans="2:11" x14ac:dyDescent="0.2">
      <c r="C8">
        <f>SUM(ipl_comprehensive_dataset!M1:M1244,ipl_comprehensive_dataset!K2:K1244)</f>
        <v>401738</v>
      </c>
      <c r="E8" t="s">
        <v>3058</v>
      </c>
      <c r="F8">
        <f>SUM(ipl_comprehensive_dataset!M:M)</f>
        <v>195585</v>
      </c>
      <c r="H8" s="4">
        <v>12</v>
      </c>
      <c r="J8" s="18" t="s">
        <v>3074</v>
      </c>
      <c r="K8">
        <f>COUNT(H8:H15)</f>
        <v>3</v>
      </c>
    </row>
    <row r="9" spans="2:11" x14ac:dyDescent="0.2">
      <c r="H9" s="4" t="s">
        <v>3080</v>
      </c>
      <c r="J9" s="18"/>
    </row>
    <row r="10" spans="2:11" x14ac:dyDescent="0.2">
      <c r="G10" s="3"/>
      <c r="H10" s="5">
        <v>46419</v>
      </c>
      <c r="J10" s="18" t="s">
        <v>3075</v>
      </c>
      <c r="K10">
        <f>COUNTA(H8:H11,H12,H13,H14,H15)</f>
        <v>6</v>
      </c>
    </row>
    <row r="11" spans="2:11" x14ac:dyDescent="0.2">
      <c r="H11" s="4">
        <v>20206</v>
      </c>
      <c r="J11" s="18"/>
    </row>
    <row r="12" spans="2:11" x14ac:dyDescent="0.2">
      <c r="H12" s="4"/>
      <c r="J12" s="18" t="s">
        <v>3081</v>
      </c>
      <c r="K12">
        <f>COUNTBLANK(H8:H15)</f>
        <v>2</v>
      </c>
    </row>
    <row r="13" spans="2:11" x14ac:dyDescent="0.2">
      <c r="B13" s="2" t="s">
        <v>3059</v>
      </c>
      <c r="C13" s="2" t="s">
        <v>3060</v>
      </c>
      <c r="H13" s="4" t="e">
        <f>1/0</f>
        <v>#DIV/0!</v>
      </c>
    </row>
    <row r="14" spans="2:11" x14ac:dyDescent="0.2">
      <c r="B14" s="2" t="s">
        <v>3061</v>
      </c>
      <c r="C14" s="2">
        <v>23</v>
      </c>
      <c r="E14" s="18" t="s">
        <v>3070</v>
      </c>
      <c r="F14">
        <f>SUM(C14,C15,C16,C18,C19,C21,C22)</f>
        <v>315</v>
      </c>
      <c r="H14" s="4"/>
      <c r="K14">
        <v>2</v>
      </c>
    </row>
    <row r="15" spans="2:11" x14ac:dyDescent="0.2">
      <c r="B15" s="2" t="s">
        <v>3062</v>
      </c>
      <c r="C15" s="2">
        <v>57</v>
      </c>
      <c r="E15" s="18" t="s">
        <v>3070</v>
      </c>
      <c r="F15">
        <f>SUM(C14:C22)</f>
        <v>315</v>
      </c>
      <c r="H15" s="4" t="e">
        <f>1/0</f>
        <v>#DIV/0!</v>
      </c>
    </row>
    <row r="16" spans="2:11" x14ac:dyDescent="0.2">
      <c r="B16" s="2" t="s">
        <v>3063</v>
      </c>
      <c r="C16" s="2">
        <v>40</v>
      </c>
      <c r="E16" s="18" t="s">
        <v>3070</v>
      </c>
      <c r="F16">
        <f>SUM(C14,C16,C19,C22)</f>
        <v>157</v>
      </c>
    </row>
    <row r="17" spans="2:10" x14ac:dyDescent="0.2">
      <c r="B17" s="2" t="s">
        <v>3064</v>
      </c>
      <c r="C17" s="2" t="s">
        <v>3077</v>
      </c>
      <c r="E17" s="18" t="s">
        <v>3070</v>
      </c>
      <c r="F17">
        <f>SUM(C14:C16,C18:C19,C22)</f>
        <v>243</v>
      </c>
    </row>
    <row r="18" spans="2:10" x14ac:dyDescent="0.2">
      <c r="B18" s="2" t="s">
        <v>3065</v>
      </c>
      <c r="C18" s="2">
        <v>29</v>
      </c>
      <c r="E18" s="18" t="s">
        <v>3071</v>
      </c>
      <c r="F18">
        <f>AVERAGE(C14:C22)</f>
        <v>45</v>
      </c>
      <c r="J18">
        <v>1</v>
      </c>
    </row>
    <row r="19" spans="2:10" x14ac:dyDescent="0.2">
      <c r="B19" s="2" t="s">
        <v>3066</v>
      </c>
      <c r="C19" s="2">
        <v>33</v>
      </c>
      <c r="E19" s="18" t="s">
        <v>3072</v>
      </c>
      <c r="F19">
        <f>MIN(C14:C22)</f>
        <v>23</v>
      </c>
      <c r="J19">
        <v>2</v>
      </c>
    </row>
    <row r="20" spans="2:10" x14ac:dyDescent="0.2">
      <c r="B20" s="2" t="s">
        <v>3067</v>
      </c>
      <c r="C20" s="2"/>
      <c r="E20" s="18" t="s">
        <v>3073</v>
      </c>
      <c r="F20">
        <f>MAX(C14:C22)</f>
        <v>72</v>
      </c>
      <c r="J20">
        <v>3</v>
      </c>
    </row>
    <row r="21" spans="2:10" x14ac:dyDescent="0.2">
      <c r="B21" s="2" t="s">
        <v>3068</v>
      </c>
      <c r="C21" s="2">
        <v>72</v>
      </c>
      <c r="E21" s="18" t="s">
        <v>3074</v>
      </c>
      <c r="F21">
        <f>COUNT(C14:C22)</f>
        <v>7</v>
      </c>
      <c r="J21">
        <v>3</v>
      </c>
    </row>
    <row r="22" spans="2:10" x14ac:dyDescent="0.2">
      <c r="B22" s="2" t="s">
        <v>3069</v>
      </c>
      <c r="C22" s="2">
        <v>61</v>
      </c>
      <c r="E22" s="18" t="s">
        <v>3075</v>
      </c>
      <c r="F22">
        <f>COUNTA(C14:C22)</f>
        <v>8</v>
      </c>
      <c r="J22">
        <v>4</v>
      </c>
    </row>
    <row r="23" spans="2:10" x14ac:dyDescent="0.2">
      <c r="E23" s="18" t="s">
        <v>3076</v>
      </c>
      <c r="F23">
        <f>COUNTBLANK(C14:C22)</f>
        <v>1</v>
      </c>
      <c r="H23">
        <f>COUNT(_xlfn.UNIQUE(J18:J22))</f>
        <v>4</v>
      </c>
    </row>
    <row r="24" spans="2:10" x14ac:dyDescent="0.2">
      <c r="E24" s="18" t="s">
        <v>3078</v>
      </c>
      <c r="F24">
        <f>SMALL(C14:C22,2)</f>
        <v>29</v>
      </c>
    </row>
    <row r="25" spans="2:10" x14ac:dyDescent="0.2">
      <c r="E25" s="18" t="s">
        <v>3079</v>
      </c>
      <c r="F25">
        <f>LARGE(C14:C22,7)</f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6EC1-48A2-C14C-8C16-9F0A3DC14D8A}">
  <dimension ref="B2:O29"/>
  <sheetViews>
    <sheetView zoomScale="120" zoomScaleNormal="120" workbookViewId="0">
      <selection activeCell="G25" sqref="G25"/>
    </sheetView>
  </sheetViews>
  <sheetFormatPr baseColWidth="10" defaultRowHeight="16" x14ac:dyDescent="0.2"/>
  <cols>
    <col min="3" max="3" width="13" style="13" customWidth="1"/>
    <col min="11" max="11" width="12.5" bestFit="1" customWidth="1"/>
    <col min="12" max="12" width="20.33203125" customWidth="1"/>
  </cols>
  <sheetData>
    <row r="2" spans="2:13" x14ac:dyDescent="0.2">
      <c r="B2" s="8" t="s">
        <v>3082</v>
      </c>
      <c r="C2" s="11" t="s">
        <v>3083</v>
      </c>
      <c r="D2" s="8" t="s">
        <v>3084</v>
      </c>
      <c r="E2" s="8" t="s">
        <v>3085</v>
      </c>
      <c r="F2" s="8" t="s">
        <v>3059</v>
      </c>
      <c r="G2" s="8" t="s">
        <v>3086</v>
      </c>
      <c r="H2" s="8" t="s">
        <v>3087</v>
      </c>
      <c r="J2" s="17" t="s">
        <v>3135</v>
      </c>
      <c r="K2" s="6">
        <f>SUM(H3:H22)</f>
        <v>184600</v>
      </c>
      <c r="L2" s="18" t="str">
        <f ca="1">_xlfn.FORMULATEXT(K2)</f>
        <v>=SUM(H3:H22)</v>
      </c>
      <c r="M2" s="2" t="s">
        <v>3153</v>
      </c>
    </row>
    <row r="3" spans="2:13" x14ac:dyDescent="0.2">
      <c r="B3" s="9">
        <v>7</v>
      </c>
      <c r="C3" s="12" t="s">
        <v>3088</v>
      </c>
      <c r="D3" s="9" t="s">
        <v>3089</v>
      </c>
      <c r="E3" s="9" t="s">
        <v>75</v>
      </c>
      <c r="F3" s="9" t="s">
        <v>3090</v>
      </c>
      <c r="G3" s="9" t="s">
        <v>3091</v>
      </c>
      <c r="H3" s="10">
        <v>4500</v>
      </c>
      <c r="J3" s="17" t="s">
        <v>3136</v>
      </c>
      <c r="K3" s="6">
        <f>AVERAGE(H3:H22)</f>
        <v>9230</v>
      </c>
      <c r="L3" s="18" t="str">
        <f t="shared" ref="L3:L22" ca="1" si="0">_xlfn.FORMULATEXT(K3)</f>
        <v>=AVERAGE(H3:H22)</v>
      </c>
      <c r="M3" s="2" t="s">
        <v>3154</v>
      </c>
    </row>
    <row r="4" spans="2:13" x14ac:dyDescent="0.2">
      <c r="B4" s="9">
        <v>15</v>
      </c>
      <c r="C4" s="12" t="s">
        <v>3092</v>
      </c>
      <c r="D4" s="9" t="s">
        <v>3093</v>
      </c>
      <c r="E4" s="9" t="s">
        <v>63</v>
      </c>
      <c r="F4" s="9" t="s">
        <v>3094</v>
      </c>
      <c r="G4" s="9" t="s">
        <v>3091</v>
      </c>
      <c r="H4" s="10">
        <v>4500</v>
      </c>
      <c r="J4" s="17" t="s">
        <v>3137</v>
      </c>
      <c r="K4" s="6">
        <f>MAX(H3:H22)</f>
        <v>16250</v>
      </c>
      <c r="L4" s="18" t="str">
        <f t="shared" ca="1" si="0"/>
        <v>=MAX(H3:H22)</v>
      </c>
      <c r="M4" s="2" t="s">
        <v>3155</v>
      </c>
    </row>
    <row r="5" spans="2:13" x14ac:dyDescent="0.2">
      <c r="B5" s="9">
        <v>9</v>
      </c>
      <c r="C5" s="12" t="s">
        <v>3095</v>
      </c>
      <c r="D5" s="9" t="s">
        <v>3096</v>
      </c>
      <c r="E5" s="9" t="s">
        <v>85</v>
      </c>
      <c r="F5" s="9" t="s">
        <v>3097</v>
      </c>
      <c r="G5" s="9" t="s">
        <v>3098</v>
      </c>
      <c r="H5" s="10">
        <v>6250</v>
      </c>
      <c r="J5" s="17" t="s">
        <v>3138</v>
      </c>
      <c r="K5" s="6">
        <f>MIN(H3:H22)</f>
        <v>4500</v>
      </c>
      <c r="L5" s="18" t="str">
        <f t="shared" ca="1" si="0"/>
        <v>=MIN(H3:H22)</v>
      </c>
      <c r="M5" s="2" t="s">
        <v>3156</v>
      </c>
    </row>
    <row r="6" spans="2:13" x14ac:dyDescent="0.2">
      <c r="B6" s="9">
        <v>17</v>
      </c>
      <c r="C6" s="12" t="s">
        <v>3099</v>
      </c>
      <c r="D6" s="9" t="s">
        <v>3100</v>
      </c>
      <c r="E6" s="9" t="s">
        <v>85</v>
      </c>
      <c r="F6" s="9" t="s">
        <v>3097</v>
      </c>
      <c r="G6" s="9" t="s">
        <v>3101</v>
      </c>
      <c r="H6" s="10">
        <v>6250</v>
      </c>
      <c r="J6" s="17" t="s">
        <v>3139</v>
      </c>
      <c r="K6">
        <f>COUNT(B3:B22)</f>
        <v>20</v>
      </c>
      <c r="L6" s="18" t="str">
        <f t="shared" ca="1" si="0"/>
        <v>=COUNT(B3:B22)</v>
      </c>
      <c r="M6" s="2" t="s">
        <v>3157</v>
      </c>
    </row>
    <row r="7" spans="2:13" x14ac:dyDescent="0.2">
      <c r="B7" s="9">
        <v>8</v>
      </c>
      <c r="C7" s="12" t="s">
        <v>3102</v>
      </c>
      <c r="D7" s="9" t="s">
        <v>3103</v>
      </c>
      <c r="E7" s="9" t="s">
        <v>75</v>
      </c>
      <c r="F7" s="9" t="s">
        <v>3090</v>
      </c>
      <c r="G7" s="9" t="s">
        <v>3104</v>
      </c>
      <c r="H7" s="10">
        <v>6275</v>
      </c>
      <c r="J7" s="17" t="s">
        <v>3140</v>
      </c>
      <c r="K7">
        <f>COUNTA(F3:F22)</f>
        <v>20</v>
      </c>
      <c r="L7" s="18" t="str">
        <f t="shared" ca="1" si="0"/>
        <v>=COUNTA(F3:F22)</v>
      </c>
      <c r="M7" s="2" t="s">
        <v>3158</v>
      </c>
    </row>
    <row r="8" spans="2:13" x14ac:dyDescent="0.2">
      <c r="B8" s="9">
        <v>16</v>
      </c>
      <c r="C8" s="12" t="s">
        <v>3105</v>
      </c>
      <c r="D8" s="9"/>
      <c r="E8" s="9" t="s">
        <v>3106</v>
      </c>
      <c r="F8" s="9" t="s">
        <v>3107</v>
      </c>
      <c r="G8" s="9" t="s">
        <v>3104</v>
      </c>
      <c r="H8" s="10">
        <v>6275</v>
      </c>
      <c r="J8" s="17" t="s">
        <v>3141</v>
      </c>
      <c r="K8">
        <f>COUNTBLANK(D3:D21)</f>
        <v>3</v>
      </c>
      <c r="L8" s="18" t="str">
        <f t="shared" ca="1" si="0"/>
        <v>=COUNTBLANK(D3:D21)</v>
      </c>
      <c r="M8" s="2" t="s">
        <v>3159</v>
      </c>
    </row>
    <row r="9" spans="2:13" x14ac:dyDescent="0.2">
      <c r="B9" s="9">
        <v>6</v>
      </c>
      <c r="C9" s="12" t="s">
        <v>3108</v>
      </c>
      <c r="D9" s="9" t="s">
        <v>3109</v>
      </c>
      <c r="E9" s="9" t="s">
        <v>473</v>
      </c>
      <c r="F9" s="9" t="s">
        <v>3090</v>
      </c>
      <c r="G9" s="9" t="s">
        <v>3110</v>
      </c>
      <c r="H9" s="10">
        <v>6400</v>
      </c>
      <c r="J9" s="17" t="s">
        <v>3142</v>
      </c>
      <c r="K9">
        <f>COUNTIF(H3:H22,"&gt;10000")</f>
        <v>7</v>
      </c>
      <c r="L9" s="18" t="str">
        <f t="shared" ca="1" si="0"/>
        <v>=COUNTIF(H3:H22,"&gt;10000")</v>
      </c>
      <c r="M9" s="2" t="s">
        <v>3160</v>
      </c>
    </row>
    <row r="10" spans="2:13" x14ac:dyDescent="0.2">
      <c r="B10" s="9">
        <v>14</v>
      </c>
      <c r="C10" s="12" t="s">
        <v>3111</v>
      </c>
      <c r="D10" s="9" t="s">
        <v>3112</v>
      </c>
      <c r="E10" s="9" t="s">
        <v>3106</v>
      </c>
      <c r="F10" s="9" t="s">
        <v>3107</v>
      </c>
      <c r="G10" s="9" t="s">
        <v>3110</v>
      </c>
      <c r="H10" s="10">
        <v>6400</v>
      </c>
      <c r="J10" s="17" t="s">
        <v>3142</v>
      </c>
      <c r="K10">
        <f>COUNTIF(G3:G22,"=r&amp;d")</f>
        <v>5</v>
      </c>
      <c r="L10" s="18" t="str">
        <f t="shared" ca="1" si="0"/>
        <v>=COUNTIF(G3:G22,"=r&amp;d")</v>
      </c>
      <c r="M10" s="2" t="s">
        <v>3161</v>
      </c>
    </row>
    <row r="11" spans="2:13" x14ac:dyDescent="0.2">
      <c r="B11" s="9">
        <v>10</v>
      </c>
      <c r="C11" s="12" t="s">
        <v>3113</v>
      </c>
      <c r="D11" s="9"/>
      <c r="E11" s="9" t="s">
        <v>33</v>
      </c>
      <c r="F11" s="9" t="s">
        <v>3107</v>
      </c>
      <c r="G11" s="9" t="s">
        <v>3110</v>
      </c>
      <c r="H11" s="10">
        <v>8750</v>
      </c>
      <c r="J11" s="17" t="s">
        <v>3142</v>
      </c>
      <c r="K11">
        <f>COUNTIF(F3:F22,"=S")</f>
        <v>7</v>
      </c>
      <c r="L11" s="18" t="str">
        <f t="shared" ca="1" si="0"/>
        <v>=COUNTIF(F3:F22,"=S")</v>
      </c>
      <c r="M11" s="2" t="s">
        <v>3162</v>
      </c>
    </row>
    <row r="12" spans="2:13" x14ac:dyDescent="0.2">
      <c r="B12" s="9">
        <v>18</v>
      </c>
      <c r="C12" s="12" t="s">
        <v>3114</v>
      </c>
      <c r="D12" s="9" t="s">
        <v>3115</v>
      </c>
      <c r="E12" s="9" t="s">
        <v>85</v>
      </c>
      <c r="F12" s="9" t="s">
        <v>3097</v>
      </c>
      <c r="G12" s="9" t="s">
        <v>3104</v>
      </c>
      <c r="H12" s="10">
        <v>8750</v>
      </c>
      <c r="J12" s="17" t="s">
        <v>3143</v>
      </c>
      <c r="K12">
        <f>SUMIF(F3:F22,"=E",H3:H22)</f>
        <v>17175</v>
      </c>
      <c r="L12" s="18" t="str">
        <f t="shared" ca="1" si="0"/>
        <v>=SUMIF(F3:F22,"=E",H3:H22)</v>
      </c>
      <c r="M12" s="2" t="s">
        <v>3163</v>
      </c>
    </row>
    <row r="13" spans="2:13" x14ac:dyDescent="0.2">
      <c r="B13" s="9">
        <v>1</v>
      </c>
      <c r="C13" s="12" t="s">
        <v>3116</v>
      </c>
      <c r="D13" s="9" t="s">
        <v>3117</v>
      </c>
      <c r="E13" s="9" t="s">
        <v>85</v>
      </c>
      <c r="F13" s="9" t="s">
        <v>3097</v>
      </c>
      <c r="G13" s="9" t="s">
        <v>3098</v>
      </c>
      <c r="H13" s="10">
        <v>10000</v>
      </c>
      <c r="J13" s="17" t="s">
        <v>3144</v>
      </c>
      <c r="K13">
        <f>AVERAGEIF(G3:G22,"Training",H3:H22)</f>
        <v>11750</v>
      </c>
      <c r="L13" s="18" t="str">
        <f t="shared" ca="1" si="0"/>
        <v>=AVERAGEIF(G3:G22,"Training",H3:H22)</v>
      </c>
      <c r="M13" s="2" t="s">
        <v>3164</v>
      </c>
    </row>
    <row r="14" spans="2:13" x14ac:dyDescent="0.2">
      <c r="B14" s="9">
        <v>12</v>
      </c>
      <c r="C14" s="12" t="s">
        <v>3118</v>
      </c>
      <c r="D14" s="9" t="s">
        <v>3119</v>
      </c>
      <c r="E14" s="9" t="s">
        <v>3106</v>
      </c>
      <c r="F14" s="9" t="s">
        <v>3107</v>
      </c>
      <c r="G14" s="9" t="s">
        <v>3104</v>
      </c>
      <c r="H14" s="10">
        <v>10000</v>
      </c>
      <c r="J14" s="17" t="s">
        <v>3142</v>
      </c>
      <c r="K14">
        <f>COUNTIF(E3:E15,"Mumbai")</f>
        <v>4</v>
      </c>
      <c r="L14" s="18" t="str">
        <f t="shared" ca="1" si="0"/>
        <v>=COUNTIF(E3:E15,"Mumbai")</v>
      </c>
      <c r="M14" s="2" t="s">
        <v>3165</v>
      </c>
    </row>
    <row r="15" spans="2:13" x14ac:dyDescent="0.2">
      <c r="B15" s="9">
        <v>20</v>
      </c>
      <c r="C15" s="12" t="s">
        <v>3120</v>
      </c>
      <c r="D15" s="9" t="s">
        <v>3121</v>
      </c>
      <c r="E15" s="9" t="s">
        <v>3122</v>
      </c>
      <c r="F15" s="9" t="s">
        <v>3094</v>
      </c>
      <c r="G15" s="9" t="s">
        <v>3098</v>
      </c>
      <c r="H15" s="10">
        <v>10000</v>
      </c>
      <c r="J15" s="19"/>
      <c r="M15" s="2"/>
    </row>
    <row r="16" spans="2:13" x14ac:dyDescent="0.2">
      <c r="B16" s="9">
        <v>3</v>
      </c>
      <c r="C16" s="12" t="s">
        <v>3123</v>
      </c>
      <c r="D16" s="9" t="s">
        <v>3112</v>
      </c>
      <c r="E16" s="9"/>
      <c r="F16" s="9" t="s">
        <v>3094</v>
      </c>
      <c r="G16" s="9" t="s">
        <v>3091</v>
      </c>
      <c r="H16" s="10">
        <v>11250</v>
      </c>
      <c r="J16" s="17" t="s">
        <v>3145</v>
      </c>
      <c r="K16">
        <f>SUMIFS(H3:H22,G3:G22,"Training",F3:F22,"W")</f>
        <v>16250</v>
      </c>
      <c r="L16" s="18" t="str">
        <f t="shared" ca="1" si="0"/>
        <v>=SUMIFS(H3:H22,G3:G22,"Training",F3:F22,"W")</v>
      </c>
      <c r="M16" s="7" t="s">
        <v>3166</v>
      </c>
    </row>
    <row r="17" spans="2:15" x14ac:dyDescent="0.2">
      <c r="B17" s="9">
        <v>11</v>
      </c>
      <c r="C17" s="12" t="s">
        <v>3124</v>
      </c>
      <c r="D17" s="9" t="s">
        <v>3125</v>
      </c>
      <c r="E17" s="9" t="s">
        <v>33</v>
      </c>
      <c r="F17" s="9" t="s">
        <v>3107</v>
      </c>
      <c r="G17" s="9" t="s">
        <v>3091</v>
      </c>
      <c r="H17" s="10">
        <v>11250</v>
      </c>
      <c r="J17" s="17" t="s">
        <v>3146</v>
      </c>
      <c r="K17">
        <f>AVERAGEIFS(H3:H22,G3:G22,"tRAINING",F3:F22,"w")</f>
        <v>8125</v>
      </c>
      <c r="L17" s="18" t="str">
        <f t="shared" ca="1" si="0"/>
        <v>=AVERAGEIFS(H3:H22,G3:G22,"tRAINING",F3:F22,"w")</v>
      </c>
      <c r="M17" s="7" t="s">
        <v>3167</v>
      </c>
    </row>
    <row r="18" spans="2:15" x14ac:dyDescent="0.2">
      <c r="B18" s="9">
        <v>19</v>
      </c>
      <c r="C18" s="12" t="s">
        <v>3126</v>
      </c>
      <c r="D18" s="9" t="s">
        <v>3127</v>
      </c>
      <c r="E18" s="9" t="s">
        <v>807</v>
      </c>
      <c r="F18" s="9" t="s">
        <v>3097</v>
      </c>
      <c r="G18" s="9" t="s">
        <v>3101</v>
      </c>
      <c r="H18" s="10">
        <v>11250</v>
      </c>
      <c r="J18" s="17" t="s">
        <v>3147</v>
      </c>
      <c r="K18">
        <f>COUNTIFS(G3:G22,"training",F3:F22,"w")</f>
        <v>2</v>
      </c>
      <c r="L18" s="18" t="str">
        <f t="shared" ca="1" si="0"/>
        <v>=COUNTIFS(G3:G22,"training",F3:F22,"w")</v>
      </c>
      <c r="M18" s="7" t="s">
        <v>3168</v>
      </c>
    </row>
    <row r="19" spans="2:15" x14ac:dyDescent="0.2">
      <c r="B19" s="9">
        <v>2</v>
      </c>
      <c r="C19" s="12" t="s">
        <v>3128</v>
      </c>
      <c r="D19" s="9" t="s">
        <v>3129</v>
      </c>
      <c r="E19" s="9" t="s">
        <v>63</v>
      </c>
      <c r="F19" s="9" t="s">
        <v>3094</v>
      </c>
      <c r="G19" s="9" t="s">
        <v>3110</v>
      </c>
      <c r="H19" s="10">
        <v>12000</v>
      </c>
      <c r="J19" s="17" t="s">
        <v>3148</v>
      </c>
      <c r="K19">
        <f>_xlfn.MAXIFS(H3:H22,G3:G22,"training",F3:F22,"w")</f>
        <v>10000</v>
      </c>
      <c r="L19" s="18" t="str">
        <f t="shared" ca="1" si="0"/>
        <v>=MAXIFS(H3:H22,G3:G22,"training",F3:F22,"w")</v>
      </c>
      <c r="M19" s="7" t="s">
        <v>3169</v>
      </c>
    </row>
    <row r="20" spans="2:15" x14ac:dyDescent="0.2">
      <c r="B20" s="9">
        <v>4</v>
      </c>
      <c r="C20" s="12" t="s">
        <v>3130</v>
      </c>
      <c r="D20" s="9" t="s">
        <v>3131</v>
      </c>
      <c r="E20" s="9" t="s">
        <v>108</v>
      </c>
      <c r="F20" s="9" t="s">
        <v>3107</v>
      </c>
      <c r="G20" s="9" t="s">
        <v>3104</v>
      </c>
      <c r="H20" s="10">
        <v>12000</v>
      </c>
      <c r="J20" s="17" t="s">
        <v>3149</v>
      </c>
      <c r="K20">
        <f>_xlfn.MINIFS(H3:H22,G3:G22,G5,F3:F22,F5)</f>
        <v>6250</v>
      </c>
      <c r="L20" s="18" t="str">
        <f t="shared" ca="1" si="0"/>
        <v>=MINIFS(H3:H22,G3:G22,G5,F3:F22,F5)</v>
      </c>
      <c r="M20" s="7" t="s">
        <v>3170</v>
      </c>
    </row>
    <row r="21" spans="2:15" x14ac:dyDescent="0.2">
      <c r="B21" s="9">
        <v>5</v>
      </c>
      <c r="C21" s="12" t="s">
        <v>3132</v>
      </c>
      <c r="D21" s="9"/>
      <c r="E21" s="9" t="s">
        <v>63</v>
      </c>
      <c r="F21" s="9" t="s">
        <v>3094</v>
      </c>
      <c r="G21" s="9" t="s">
        <v>3098</v>
      </c>
      <c r="H21" s="10">
        <v>16250</v>
      </c>
      <c r="J21" s="17" t="s">
        <v>3145</v>
      </c>
      <c r="K21">
        <f>SUMIFS(H3:H22,G3:G22,G8,E3:E22,E8)</f>
        <v>16275</v>
      </c>
      <c r="L21" s="18" t="str">
        <f t="shared" ca="1" si="0"/>
        <v>=SUMIFS(H3:H22,G3:G22,G8,E3:E22,E8)</v>
      </c>
      <c r="M21" s="7" t="s">
        <v>3171</v>
      </c>
    </row>
    <row r="22" spans="2:15" x14ac:dyDescent="0.2">
      <c r="B22" s="9">
        <v>13</v>
      </c>
      <c r="C22" s="12" t="s">
        <v>3133</v>
      </c>
      <c r="D22" s="9" t="s">
        <v>3129</v>
      </c>
      <c r="E22" s="9" t="s">
        <v>3134</v>
      </c>
      <c r="F22" s="9" t="s">
        <v>3107</v>
      </c>
      <c r="G22" s="9" t="s">
        <v>3098</v>
      </c>
      <c r="H22" s="10">
        <v>16250</v>
      </c>
      <c r="J22" s="17" t="s">
        <v>3147</v>
      </c>
      <c r="K22">
        <f>COUNTIFS(H3:H22,"&gt;8000",H3:H22,"&lt;12000")</f>
        <v>8</v>
      </c>
      <c r="L22" s="18" t="str">
        <f t="shared" ca="1" si="0"/>
        <v>=COUNTIFS(H3:H22,"&gt;8000",H3:H22,"&lt;12000")</v>
      </c>
      <c r="M22" s="7" t="s">
        <v>3172</v>
      </c>
    </row>
    <row r="23" spans="2:15" x14ac:dyDescent="0.2">
      <c r="J23" s="19"/>
      <c r="M23" s="7" t="s">
        <v>3172</v>
      </c>
    </row>
    <row r="24" spans="2:15" x14ac:dyDescent="0.2">
      <c r="J24" s="15" t="s">
        <v>3150</v>
      </c>
    </row>
    <row r="25" spans="2:15" x14ac:dyDescent="0.2">
      <c r="J25" s="15" t="s">
        <v>3150</v>
      </c>
    </row>
    <row r="26" spans="2:15" x14ac:dyDescent="0.2">
      <c r="I26" s="16" t="s">
        <v>3173</v>
      </c>
      <c r="J26" s="17" t="s">
        <v>3151</v>
      </c>
      <c r="K26">
        <f>LARGE(H3:H22,2)</f>
        <v>16250</v>
      </c>
      <c r="L26" s="18" t="str">
        <f ca="1">_xlfn.FORMULATEXT(K26)</f>
        <v>=LARGE(H3:H22,2)</v>
      </c>
      <c r="M26" s="17" t="s">
        <v>3175</v>
      </c>
      <c r="N26">
        <f>LARGE(_xlfn.UNIQUE(H3:H22),2)</f>
        <v>12000</v>
      </c>
      <c r="O26" s="18" t="str">
        <f ca="1">_xlfn.FORMULATEXT(N26)</f>
        <v>=LARGE(UNIQUE(H3:H22),2)</v>
      </c>
    </row>
    <row r="27" spans="2:15" x14ac:dyDescent="0.2">
      <c r="C27" s="14">
        <v>100</v>
      </c>
      <c r="D27" t="s">
        <v>3176</v>
      </c>
      <c r="I27" s="16" t="s">
        <v>3174</v>
      </c>
      <c r="J27" s="17" t="s">
        <v>3152</v>
      </c>
      <c r="K27">
        <f>SMALL(H3:H22,3)</f>
        <v>6250</v>
      </c>
      <c r="L27" s="18" t="str">
        <f ca="1">_xlfn.FORMULATEXT(K27)</f>
        <v>=SMALL(H3:H22,3)</v>
      </c>
      <c r="M27" s="17" t="s">
        <v>3175</v>
      </c>
      <c r="N27">
        <f>SMALL(_xlfn.UNIQUE(H3:H22),3)</f>
        <v>6275</v>
      </c>
      <c r="O27" s="18" t="str">
        <f ca="1">_xlfn.FORMULATEXT(N27)</f>
        <v>=SMALL(UNIQUE(H3:H22),3)</v>
      </c>
    </row>
    <row r="28" spans="2:15" x14ac:dyDescent="0.2">
      <c r="C28" s="14">
        <v>200</v>
      </c>
      <c r="D28" t="s">
        <v>3177</v>
      </c>
    </row>
    <row r="29" spans="2:15" x14ac:dyDescent="0.2">
      <c r="C29" s="14">
        <f>SUM(C28,C27)</f>
        <v>300</v>
      </c>
      <c r="D29">
        <f>SUM(D27,D28)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ipl_comprehensive_dataset</vt:lpstr>
      <vt:lpstr>Aggregate functions</vt:lpstr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Ranpise</dc:creator>
  <cp:lastModifiedBy>Suraj Ranpise</cp:lastModifiedBy>
  <dcterms:created xsi:type="dcterms:W3CDTF">2026-06-23T10:01:10Z</dcterms:created>
  <dcterms:modified xsi:type="dcterms:W3CDTF">2026-06-24T10:34:21Z</dcterms:modified>
</cp:coreProperties>
</file>