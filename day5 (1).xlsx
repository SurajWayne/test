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ash Fill" sheetId="1" r:id="rId4"/>
    <sheet state="visible" name="Text to Column" sheetId="2" r:id="rId5"/>
    <sheet state="visible" name="Information Functions" sheetId="3" r:id="rId6"/>
    <sheet state="visible" name="Sumproduct" sheetId="4" r:id="rId7"/>
    <sheet state="visible" name="Indirect" sheetId="5" r:id="rId8"/>
  </sheets>
  <definedNames>
    <definedName name="SALARY">Indirect!$G$2:$G$21</definedName>
  </definedNames>
  <calcPr/>
  <extLst>
    <ext uri="GoogleSheetsCustomDataVersion2">
      <go:sheetsCustomData xmlns:go="http://customooxmlschemas.google.com/" r:id="rId9" roundtripDataChecksum="CvIUVf/MxROy88d92lFmbfpbHD2ayI4DY02cyqdudi8="/>
    </ext>
  </extLst>
</workbook>
</file>

<file path=xl/sharedStrings.xml><?xml version="1.0" encoding="utf-8"?>
<sst xmlns="http://schemas.openxmlformats.org/spreadsheetml/2006/main" count="319" uniqueCount="162">
  <si>
    <t>First Name</t>
  </si>
  <si>
    <t>Last Name</t>
  </si>
  <si>
    <t>Example-1</t>
  </si>
  <si>
    <t>Example-2</t>
  </si>
  <si>
    <t>Example-3</t>
  </si>
  <si>
    <t>Example-4</t>
  </si>
  <si>
    <t>Emp Code</t>
  </si>
  <si>
    <t>Employee Name</t>
  </si>
  <si>
    <t>Address</t>
  </si>
  <si>
    <t>City</t>
  </si>
  <si>
    <t>Region</t>
  </si>
  <si>
    <t>Department</t>
  </si>
  <si>
    <t>Basic</t>
  </si>
  <si>
    <t>Unique ID</t>
  </si>
  <si>
    <t>AP</t>
  </si>
  <si>
    <t>Kapoor</t>
  </si>
  <si>
    <t>Prakash Dutta</t>
  </si>
  <si>
    <t>Elgin Road</t>
  </si>
  <si>
    <t>Kolkata</t>
  </si>
  <si>
    <t>E</t>
  </si>
  <si>
    <t>Marketing</t>
  </si>
  <si>
    <t>Priya</t>
  </si>
  <si>
    <t>Sharma</t>
  </si>
  <si>
    <t>Prateek Babbar</t>
  </si>
  <si>
    <t>North Road</t>
  </si>
  <si>
    <t>Delhi</t>
  </si>
  <si>
    <t>N</t>
  </si>
  <si>
    <t>Rahul</t>
  </si>
  <si>
    <t>Verma</t>
  </si>
  <si>
    <t>Arjun Jain</t>
  </si>
  <si>
    <t>MG Road</t>
  </si>
  <si>
    <t>Mumbai</t>
  </si>
  <si>
    <t>W</t>
  </si>
  <si>
    <t>Training</t>
  </si>
  <si>
    <t>Deepa</t>
  </si>
  <si>
    <t>Mehta</t>
  </si>
  <si>
    <t>Satish Puri</t>
  </si>
  <si>
    <t>Bandra</t>
  </si>
  <si>
    <t>Operation</t>
  </si>
  <si>
    <t>GHEA2045</t>
  </si>
  <si>
    <t>Suresh</t>
  </si>
  <si>
    <t>Kumar</t>
  </si>
  <si>
    <t>Manisha Guha</t>
  </si>
  <si>
    <t>Alipore</t>
  </si>
  <si>
    <t>R&amp;D</t>
  </si>
  <si>
    <t>GHEB2045</t>
  </si>
  <si>
    <t>Kavita</t>
  </si>
  <si>
    <t>Rao</t>
  </si>
  <si>
    <t>Sukanya Reddy</t>
  </si>
  <si>
    <t>Mangalore</t>
  </si>
  <si>
    <t>S</t>
  </si>
  <si>
    <t>GHEA2046</t>
  </si>
  <si>
    <t>Rani</t>
  </si>
  <si>
    <t>Gupta</t>
  </si>
  <si>
    <t>Jharna Biswal</t>
  </si>
  <si>
    <t>Link Road</t>
  </si>
  <si>
    <t>Cuttack</t>
  </si>
  <si>
    <t>Accounts</t>
  </si>
  <si>
    <t>GHEB2046</t>
  </si>
  <si>
    <t>Ajay</t>
  </si>
  <si>
    <t>Patel</t>
  </si>
  <si>
    <t>Ashwini</t>
  </si>
  <si>
    <t>Sector 9</t>
  </si>
  <si>
    <t>GHEA2047</t>
  </si>
  <si>
    <t>Vijay</t>
  </si>
  <si>
    <t>Singh</t>
  </si>
  <si>
    <t>Arjun Kapoor</t>
  </si>
  <si>
    <t>Bangalore</t>
  </si>
  <si>
    <t>GHEB2047</t>
  </si>
  <si>
    <t>Neha</t>
  </si>
  <si>
    <t>Bhatt</t>
  </si>
  <si>
    <t>Anjum Chopra</t>
  </si>
  <si>
    <t>Worli</t>
  </si>
  <si>
    <t>GHEA2048</t>
  </si>
  <si>
    <t>JP Kumar</t>
  </si>
  <si>
    <t>Andheri (W)</t>
  </si>
  <si>
    <t>GHEB2048</t>
  </si>
  <si>
    <t>Shahid Khan</t>
  </si>
  <si>
    <t>M.G Road</t>
  </si>
  <si>
    <t>GHEA2049</t>
  </si>
  <si>
    <t>Manish Grover</t>
  </si>
  <si>
    <t>L L R Road</t>
  </si>
  <si>
    <t>Noida</t>
  </si>
  <si>
    <t>AP Kapoor</t>
  </si>
  <si>
    <t>Priya Agarwal</t>
  </si>
  <si>
    <t>Priya Sharma</t>
  </si>
  <si>
    <t>Abrar</t>
  </si>
  <si>
    <t>Jayanagar</t>
  </si>
  <si>
    <t>Rahul Verma</t>
  </si>
  <si>
    <t>Akram Khan</t>
  </si>
  <si>
    <t>S P B Road</t>
  </si>
  <si>
    <t>Pune</t>
  </si>
  <si>
    <t>Deepa Mehta</t>
  </si>
  <si>
    <t>Anjali Thakur</t>
  </si>
  <si>
    <t>Govindpuri</t>
  </si>
  <si>
    <t>Suresh Kumar</t>
  </si>
  <si>
    <t>R Vasu</t>
  </si>
  <si>
    <t>Egmore</t>
  </si>
  <si>
    <t>Chennai</t>
  </si>
  <si>
    <t>Kavita Rao</t>
  </si>
  <si>
    <t>Sanjay Gupta</t>
  </si>
  <si>
    <t>Rani Gupta</t>
  </si>
  <si>
    <t>Anupam Mishra</t>
  </si>
  <si>
    <t>Mysore</t>
  </si>
  <si>
    <t>Ajay Patel</t>
  </si>
  <si>
    <t>Vijay Singh</t>
  </si>
  <si>
    <t>Neha Bhatt</t>
  </si>
  <si>
    <t>DATA</t>
  </si>
  <si>
    <t>KA-05-KP-8562</t>
  </si>
  <si>
    <t>MH-05-AP-9845</t>
  </si>
  <si>
    <t>Anjali ,Thakur</t>
  </si>
  <si>
    <t>TN-10-RD-9878</t>
  </si>
  <si>
    <t>"Priya AgarwaL"</t>
  </si>
  <si>
    <t>AP-10-NA-2378</t>
  </si>
  <si>
    <t>R#Vasu,Muthanna</t>
  </si>
  <si>
    <t>TS-04-BA-9567</t>
  </si>
  <si>
    <t>Sanjay;Gupta</t>
  </si>
  <si>
    <t>KL-07-ST-8923</t>
  </si>
  <si>
    <t>Jharna ,Biswal</t>
  </si>
  <si>
    <t>WB-11-CG-5679</t>
  </si>
  <si>
    <t>Prakash#Dutta</t>
  </si>
  <si>
    <t>UP-09-ST-7453</t>
  </si>
  <si>
    <t>Manisha;Guha</t>
  </si>
  <si>
    <t>OR-06-KN-4598</t>
  </si>
  <si>
    <t>Arjun,JAiN</t>
  </si>
  <si>
    <t>DL-03-EG-8345</t>
  </si>
  <si>
    <t>Arjun#Kapoor</t>
  </si>
  <si>
    <t>GA-05-AP-3456</t>
  </si>
  <si>
    <t>"Ajay Kumar"</t>
  </si>
  <si>
    <t>KA05KP8562</t>
  </si>
  <si>
    <t>MH05AP9845</t>
  </si>
  <si>
    <t>TN10RD9878</t>
  </si>
  <si>
    <t>AP10NA2378</t>
  </si>
  <si>
    <t>TS04BA9567</t>
  </si>
  <si>
    <t>KL07ST8923</t>
  </si>
  <si>
    <t>WB11CG5679</t>
  </si>
  <si>
    <t>UP09ST7453</t>
  </si>
  <si>
    <t>OR06KN4598</t>
  </si>
  <si>
    <t>DL03EG8345</t>
  </si>
  <si>
    <t>GA05AP3456</t>
  </si>
  <si>
    <t>ISTEXT</t>
  </si>
  <si>
    <t>ISNONTEXT</t>
  </si>
  <si>
    <t>ISNUMBER</t>
  </si>
  <si>
    <t>ISEVEN</t>
  </si>
  <si>
    <t>ISODD</t>
  </si>
  <si>
    <t>ISFORMULA</t>
  </si>
  <si>
    <t>ISLOGICAL</t>
  </si>
  <si>
    <t>India</t>
  </si>
  <si>
    <t>Excel</t>
  </si>
  <si>
    <t>Product Name</t>
  </si>
  <si>
    <t>Quantity</t>
  </si>
  <si>
    <t>Rate</t>
  </si>
  <si>
    <t>Amount</t>
  </si>
  <si>
    <t>Pepsi</t>
  </si>
  <si>
    <t>coke</t>
  </si>
  <si>
    <t>Slice</t>
  </si>
  <si>
    <t>Miranda</t>
  </si>
  <si>
    <t>Team</t>
  </si>
  <si>
    <t>7-Up</t>
  </si>
  <si>
    <t>frooty</t>
  </si>
  <si>
    <t>Total Amount</t>
  </si>
  <si>
    <t>SALARY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</si>
</sst>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₹&quot;\ #,##0.00;[Red]&quot;₹&quot;\ #,##0.00"/>
  </numFmts>
  <fonts count="9">
    <font>
      <sz val="11.0"/>
      <color theme="1"/>
      <name val="Calibri"/>
      <scheme val="minor"/>
    </font>
    <font>
      <sz val="9.0"/>
      <color rgb="FF0D0D0D"/>
      <name val="Quattrocento Sans"/>
    </font>
    <font>
      <b/>
      <sz val="11.0"/>
      <color theme="1"/>
      <name val="Calibri"/>
    </font>
    <font>
      <u/>
      <sz val="11.0"/>
      <color theme="10"/>
      <name val="Calibri"/>
    </font>
    <font>
      <sz val="11.0"/>
      <color theme="1"/>
      <name val="Calibri"/>
    </font>
    <font>
      <b/>
      <sz val="9.0"/>
      <color rgb="FF0D0D0D"/>
      <name val="Play"/>
    </font>
    <font>
      <sz val="11.0"/>
      <color theme="1"/>
      <name val="Play"/>
    </font>
    <font>
      <b/>
      <sz val="11.0"/>
      <color theme="1"/>
      <name val="Play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</fills>
  <borders count="7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3" fillId="2" fontId="2" numFmtId="0" xfId="0" applyBorder="1" applyFont="1"/>
    <xf borderId="3" fillId="2" fontId="2" numFmtId="164" xfId="0" applyBorder="1" applyFont="1" applyNumberFormat="1"/>
    <xf borderId="4" fillId="3" fontId="1" numFmtId="0" xfId="0" applyAlignment="1" applyBorder="1" applyFill="1" applyFont="1">
      <alignment shrinkToFit="0" vertical="center" wrapText="1"/>
    </xf>
    <xf borderId="5" fillId="3" fontId="1" numFmtId="0" xfId="0" applyAlignment="1" applyBorder="1" applyFont="1">
      <alignment shrinkToFit="0" vertical="center" wrapText="1"/>
    </xf>
    <xf borderId="0" fillId="0" fontId="3" numFmtId="0" xfId="0" applyFont="1"/>
    <xf borderId="6" fillId="0" fontId="4" numFmtId="0" xfId="0" applyBorder="1" applyFont="1"/>
    <xf borderId="6" fillId="0" fontId="4" numFmtId="164" xfId="0" applyBorder="1" applyFont="1" applyNumberFormat="1"/>
    <xf borderId="3" fillId="2" fontId="4" numFmtId="0" xfId="0" applyBorder="1" applyFont="1"/>
    <xf borderId="6" fillId="2" fontId="5" numFmtId="0" xfId="0" applyAlignment="1" applyBorder="1" applyFont="1">
      <alignment horizontal="left"/>
    </xf>
    <xf borderId="6" fillId="0" fontId="6" numFmtId="0" xfId="0" applyBorder="1" applyFont="1"/>
    <xf borderId="6" fillId="0" fontId="4" numFmtId="0" xfId="0" applyAlignment="1" applyBorder="1" applyFont="1">
      <alignment readingOrder="0"/>
    </xf>
    <xf borderId="3" fillId="2" fontId="7" numFmtId="0" xfId="0" applyBorder="1" applyFont="1"/>
    <xf borderId="0" fillId="0" fontId="6" numFmtId="0" xfId="0" applyFont="1"/>
    <xf borderId="0" fillId="0" fontId="4" numFmtId="49" xfId="0" applyFont="1" applyNumberFormat="1"/>
    <xf quotePrefix="1" borderId="0" fillId="0" fontId="6" numFmtId="0" xfId="0" applyFont="1"/>
    <xf borderId="3" fillId="4" fontId="6" numFmtId="0" xfId="0" applyBorder="1" applyFill="1" applyFont="1"/>
    <xf borderId="0" fillId="0" fontId="4" numFmtId="0" xfId="0" applyAlignment="1" applyFont="1">
      <alignment shrinkToFit="0" wrapText="1"/>
    </xf>
    <xf borderId="0" fillId="0" fontId="4" numFmtId="0" xfId="0" applyAlignment="1" applyFont="1">
      <alignment shrinkToFit="0" vertical="center" wrapText="1"/>
    </xf>
    <xf borderId="6" fillId="0" fontId="6" numFmtId="14" xfId="0" applyBorder="1" applyFont="1" applyNumberFormat="1"/>
    <xf borderId="0" fillId="0" fontId="8" numFmtId="0" xfId="0" applyFont="1"/>
    <xf borderId="3" fillId="4" fontId="7" numFmtId="0" xfId="0" applyBorder="1" applyFont="1"/>
    <xf borderId="3" fillId="4" fontId="7" numFmtId="164" xfId="0" applyBorder="1" applyFont="1" applyNumberFormat="1"/>
    <xf borderId="0" fillId="0" fontId="2" numFmtId="0" xfId="0" applyFont="1"/>
    <xf borderId="6" fillId="0" fontId="6" numFmtId="164" xfId="0" applyBorder="1" applyFont="1" applyNumberFormat="1"/>
    <xf borderId="3" fillId="5" fontId="4" numFmtId="164" xfId="0" applyBorder="1" applyFill="1" applyFont="1" applyNumberFormat="1"/>
    <xf borderId="3" fillId="5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9.71"/>
    <col customWidth="1" min="3" max="3" width="18.14"/>
    <col customWidth="1" min="4" max="4" width="17.14"/>
    <col customWidth="1" min="5" max="5" width="19.29"/>
    <col customWidth="1" min="6" max="7" width="24.71"/>
    <col customWidth="1" min="8" max="8" width="8.71"/>
    <col customWidth="1" min="9" max="9" width="9.57"/>
    <col customWidth="1" min="10" max="10" width="14.86"/>
    <col customWidth="1" min="11" max="11" width="11.0"/>
    <col customWidth="1" min="12" max="12" width="10.0"/>
    <col customWidth="1" min="13" max="13" width="8.71"/>
    <col customWidth="1" min="14" max="14" width="11.29"/>
    <col customWidth="1" min="15" max="15" width="10.43"/>
    <col customWidth="1" min="16" max="16" width="10.71"/>
    <col customWidth="1" min="17" max="18" width="8.71"/>
    <col customWidth="1" min="19" max="19" width="10.71"/>
    <col customWidth="1" min="20" max="20" width="11.14"/>
    <col customWidth="1" min="21" max="26" width="8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4" t="s">
        <v>12</v>
      </c>
      <c r="P1" s="3" t="s">
        <v>13</v>
      </c>
    </row>
    <row r="2" ht="14.25" customHeight="1">
      <c r="A2" s="5" t="s">
        <v>14</v>
      </c>
      <c r="B2" s="6" t="s">
        <v>15</v>
      </c>
      <c r="F2" s="7"/>
      <c r="G2" s="7"/>
      <c r="I2" s="8">
        <v>7.0</v>
      </c>
      <c r="J2" s="8" t="s">
        <v>16</v>
      </c>
      <c r="K2" s="8" t="s">
        <v>17</v>
      </c>
      <c r="L2" s="8" t="s">
        <v>18</v>
      </c>
      <c r="M2" s="8" t="s">
        <v>19</v>
      </c>
      <c r="N2" s="8" t="s">
        <v>20</v>
      </c>
      <c r="O2" s="9">
        <v>4500.0</v>
      </c>
      <c r="P2" s="8"/>
    </row>
    <row r="3" ht="14.25" customHeight="1">
      <c r="A3" s="5" t="s">
        <v>21</v>
      </c>
      <c r="B3" s="6" t="s">
        <v>22</v>
      </c>
      <c r="F3" s="7"/>
      <c r="G3" s="7"/>
      <c r="I3" s="8">
        <v>15.0</v>
      </c>
      <c r="J3" s="8" t="s">
        <v>23</v>
      </c>
      <c r="K3" s="8" t="s">
        <v>24</v>
      </c>
      <c r="L3" s="8" t="s">
        <v>25</v>
      </c>
      <c r="M3" s="8" t="s">
        <v>26</v>
      </c>
      <c r="N3" s="8" t="s">
        <v>20</v>
      </c>
      <c r="O3" s="9">
        <v>4500.0</v>
      </c>
      <c r="P3" s="8"/>
    </row>
    <row r="4" ht="14.25" customHeight="1">
      <c r="A4" s="5" t="s">
        <v>27</v>
      </c>
      <c r="B4" s="6" t="s">
        <v>28</v>
      </c>
      <c r="F4" s="7"/>
      <c r="G4" s="7"/>
      <c r="I4" s="8">
        <v>9.0</v>
      </c>
      <c r="J4" s="8" t="s">
        <v>29</v>
      </c>
      <c r="K4" s="8" t="s">
        <v>30</v>
      </c>
      <c r="L4" s="8" t="s">
        <v>31</v>
      </c>
      <c r="M4" s="8" t="s">
        <v>32</v>
      </c>
      <c r="N4" s="8" t="s">
        <v>33</v>
      </c>
      <c r="O4" s="9">
        <v>6250.0</v>
      </c>
      <c r="P4" s="8"/>
    </row>
    <row r="5" ht="14.25" customHeight="1">
      <c r="A5" s="5" t="s">
        <v>34</v>
      </c>
      <c r="B5" s="6" t="s">
        <v>35</v>
      </c>
      <c r="F5" s="7"/>
      <c r="G5" s="7"/>
      <c r="I5" s="8">
        <v>17.0</v>
      </c>
      <c r="J5" s="8" t="s">
        <v>36</v>
      </c>
      <c r="K5" s="8" t="s">
        <v>37</v>
      </c>
      <c r="L5" s="8" t="s">
        <v>31</v>
      </c>
      <c r="M5" s="8" t="s">
        <v>32</v>
      </c>
      <c r="N5" s="8" t="s">
        <v>38</v>
      </c>
      <c r="O5" s="9">
        <v>6250.0</v>
      </c>
      <c r="P5" s="8"/>
      <c r="T5" s="10" t="s">
        <v>39</v>
      </c>
      <c r="U5" s="8"/>
      <c r="V5" s="8"/>
    </row>
    <row r="6" ht="14.25" customHeight="1">
      <c r="A6" s="5" t="s">
        <v>40</v>
      </c>
      <c r="B6" s="6" t="s">
        <v>41</v>
      </c>
      <c r="F6" s="7"/>
      <c r="G6" s="7"/>
      <c r="I6" s="8">
        <v>8.0</v>
      </c>
      <c r="J6" s="8" t="s">
        <v>42</v>
      </c>
      <c r="K6" s="8" t="s">
        <v>43</v>
      </c>
      <c r="L6" s="8" t="s">
        <v>18</v>
      </c>
      <c r="M6" s="8" t="s">
        <v>19</v>
      </c>
      <c r="N6" s="8" t="s">
        <v>44</v>
      </c>
      <c r="O6" s="9">
        <v>6275.0</v>
      </c>
      <c r="P6" s="8"/>
      <c r="T6" s="10" t="s">
        <v>45</v>
      </c>
      <c r="U6" s="8"/>
      <c r="V6" s="8"/>
    </row>
    <row r="7" ht="14.25" customHeight="1">
      <c r="A7" s="5" t="s">
        <v>46</v>
      </c>
      <c r="B7" s="6" t="s">
        <v>47</v>
      </c>
      <c r="F7" s="7"/>
      <c r="G7" s="7"/>
      <c r="I7" s="8">
        <v>16.0</v>
      </c>
      <c r="J7" s="8" t="s">
        <v>48</v>
      </c>
      <c r="K7" s="8"/>
      <c r="L7" s="8" t="s">
        <v>49</v>
      </c>
      <c r="M7" s="8" t="s">
        <v>50</v>
      </c>
      <c r="N7" s="8" t="s">
        <v>44</v>
      </c>
      <c r="O7" s="9">
        <v>6275.0</v>
      </c>
      <c r="P7" s="8"/>
      <c r="T7" s="10" t="s">
        <v>51</v>
      </c>
      <c r="U7" s="8"/>
      <c r="V7" s="8"/>
    </row>
    <row r="8" ht="14.25" customHeight="1">
      <c r="A8" s="5" t="s">
        <v>52</v>
      </c>
      <c r="B8" s="6" t="s">
        <v>53</v>
      </c>
      <c r="F8" s="7"/>
      <c r="G8" s="7"/>
      <c r="I8" s="8">
        <v>6.0</v>
      </c>
      <c r="J8" s="8" t="s">
        <v>54</v>
      </c>
      <c r="K8" s="8" t="s">
        <v>55</v>
      </c>
      <c r="L8" s="8" t="s">
        <v>56</v>
      </c>
      <c r="M8" s="8" t="s">
        <v>19</v>
      </c>
      <c r="N8" s="8" t="s">
        <v>57</v>
      </c>
      <c r="O8" s="9">
        <v>6400.0</v>
      </c>
      <c r="P8" s="8"/>
      <c r="T8" s="10" t="s">
        <v>58</v>
      </c>
      <c r="U8" s="8"/>
      <c r="V8" s="8"/>
    </row>
    <row r="9" ht="14.25" customHeight="1">
      <c r="A9" s="5" t="s">
        <v>59</v>
      </c>
      <c r="B9" s="6" t="s">
        <v>60</v>
      </c>
      <c r="F9" s="7"/>
      <c r="G9" s="7"/>
      <c r="I9" s="8">
        <v>14.0</v>
      </c>
      <c r="J9" s="8" t="s">
        <v>61</v>
      </c>
      <c r="K9" s="8" t="s">
        <v>62</v>
      </c>
      <c r="L9" s="8" t="s">
        <v>49</v>
      </c>
      <c r="M9" s="8" t="s">
        <v>50</v>
      </c>
      <c r="N9" s="8" t="s">
        <v>57</v>
      </c>
      <c r="O9" s="9">
        <v>6400.0</v>
      </c>
      <c r="P9" s="8"/>
      <c r="T9" s="10" t="s">
        <v>63</v>
      </c>
      <c r="U9" s="8"/>
      <c r="V9" s="8"/>
    </row>
    <row r="10" ht="14.25" customHeight="1">
      <c r="A10" s="5" t="s">
        <v>64</v>
      </c>
      <c r="B10" s="6" t="s">
        <v>65</v>
      </c>
      <c r="F10" s="7"/>
      <c r="G10" s="7"/>
      <c r="I10" s="8">
        <v>10.0</v>
      </c>
      <c r="J10" s="8" t="s">
        <v>66</v>
      </c>
      <c r="K10" s="8"/>
      <c r="L10" s="8" t="s">
        <v>67</v>
      </c>
      <c r="M10" s="8" t="s">
        <v>50</v>
      </c>
      <c r="N10" s="8" t="s">
        <v>57</v>
      </c>
      <c r="O10" s="9">
        <v>8750.0</v>
      </c>
      <c r="P10" s="8"/>
      <c r="T10" s="10" t="s">
        <v>68</v>
      </c>
      <c r="U10" s="8"/>
      <c r="V10" s="8"/>
    </row>
    <row r="11" ht="14.25" customHeight="1">
      <c r="A11" s="5" t="s">
        <v>69</v>
      </c>
      <c r="B11" s="6" t="s">
        <v>70</v>
      </c>
      <c r="F11" s="7"/>
      <c r="G11" s="7"/>
      <c r="I11" s="8">
        <v>18.0</v>
      </c>
      <c r="J11" s="8" t="s">
        <v>71</v>
      </c>
      <c r="K11" s="8" t="s">
        <v>72</v>
      </c>
      <c r="L11" s="8" t="s">
        <v>31</v>
      </c>
      <c r="M11" s="8" t="s">
        <v>32</v>
      </c>
      <c r="N11" s="8" t="s">
        <v>44</v>
      </c>
      <c r="O11" s="9">
        <v>8750.0</v>
      </c>
      <c r="P11" s="8"/>
      <c r="T11" s="10" t="s">
        <v>73</v>
      </c>
      <c r="U11" s="8"/>
      <c r="V11" s="8"/>
    </row>
    <row r="12" ht="14.25" customHeight="1">
      <c r="I12" s="8">
        <v>1.0</v>
      </c>
      <c r="J12" s="8" t="s">
        <v>74</v>
      </c>
      <c r="K12" s="8" t="s">
        <v>75</v>
      </c>
      <c r="L12" s="8" t="s">
        <v>31</v>
      </c>
      <c r="M12" s="8" t="s">
        <v>32</v>
      </c>
      <c r="N12" s="8" t="s">
        <v>33</v>
      </c>
      <c r="O12" s="9">
        <v>10000.0</v>
      </c>
      <c r="P12" s="8"/>
      <c r="T12" s="10" t="s">
        <v>76</v>
      </c>
      <c r="U12" s="8"/>
      <c r="V12" s="8"/>
    </row>
    <row r="13" ht="14.25" customHeight="1">
      <c r="I13" s="8">
        <v>12.0</v>
      </c>
      <c r="J13" s="8" t="s">
        <v>77</v>
      </c>
      <c r="K13" s="8" t="s">
        <v>78</v>
      </c>
      <c r="L13" s="8" t="s">
        <v>49</v>
      </c>
      <c r="M13" s="8" t="s">
        <v>50</v>
      </c>
      <c r="N13" s="8" t="s">
        <v>44</v>
      </c>
      <c r="O13" s="9">
        <v>10000.0</v>
      </c>
      <c r="P13" s="8"/>
      <c r="T13" s="10" t="s">
        <v>79</v>
      </c>
      <c r="U13" s="8"/>
      <c r="V13" s="8"/>
    </row>
    <row r="14" ht="14.25" customHeight="1">
      <c r="A14" s="11" t="s">
        <v>7</v>
      </c>
      <c r="B14" s="11" t="s">
        <v>0</v>
      </c>
      <c r="C14" s="11" t="s">
        <v>1</v>
      </c>
      <c r="I14" s="8">
        <v>20.0</v>
      </c>
      <c r="J14" s="8" t="s">
        <v>80</v>
      </c>
      <c r="K14" s="8" t="s">
        <v>81</v>
      </c>
      <c r="L14" s="8" t="s">
        <v>82</v>
      </c>
      <c r="M14" s="8" t="s">
        <v>26</v>
      </c>
      <c r="N14" s="8" t="s">
        <v>33</v>
      </c>
      <c r="O14" s="9">
        <v>10000.0</v>
      </c>
      <c r="P14" s="8"/>
      <c r="T14" s="10" t="s">
        <v>51</v>
      </c>
      <c r="U14" s="8"/>
      <c r="V14" s="8"/>
    </row>
    <row r="15" ht="14.25" customHeight="1">
      <c r="A15" s="12" t="s">
        <v>83</v>
      </c>
      <c r="B15" s="13" t="s">
        <v>14</v>
      </c>
      <c r="C15" s="8"/>
      <c r="I15" s="8">
        <v>3.0</v>
      </c>
      <c r="J15" s="8" t="s">
        <v>84</v>
      </c>
      <c r="K15" s="8" t="s">
        <v>62</v>
      </c>
      <c r="L15" s="8" t="s">
        <v>25</v>
      </c>
      <c r="M15" s="8" t="s">
        <v>26</v>
      </c>
      <c r="N15" s="8" t="s">
        <v>20</v>
      </c>
      <c r="O15" s="9">
        <v>11250.0</v>
      </c>
      <c r="P15" s="8"/>
      <c r="T15" s="10" t="s">
        <v>51</v>
      </c>
      <c r="U15" s="8"/>
      <c r="V15" s="8"/>
    </row>
    <row r="16" ht="14.25" customHeight="1">
      <c r="A16" s="12" t="s">
        <v>85</v>
      </c>
      <c r="B16" s="8"/>
      <c r="C16" s="8"/>
      <c r="I16" s="8">
        <v>11.0</v>
      </c>
      <c r="J16" s="8" t="s">
        <v>86</v>
      </c>
      <c r="K16" s="8" t="s">
        <v>87</v>
      </c>
      <c r="L16" s="8" t="s">
        <v>67</v>
      </c>
      <c r="M16" s="8" t="s">
        <v>50</v>
      </c>
      <c r="N16" s="8" t="s">
        <v>20</v>
      </c>
      <c r="O16" s="9">
        <v>11250.0</v>
      </c>
      <c r="P16" s="8"/>
    </row>
    <row r="17" ht="14.25" customHeight="1">
      <c r="A17" s="12" t="s">
        <v>88</v>
      </c>
      <c r="B17" s="8"/>
      <c r="C17" s="8"/>
      <c r="I17" s="8">
        <v>19.0</v>
      </c>
      <c r="J17" s="8" t="s">
        <v>89</v>
      </c>
      <c r="K17" s="8" t="s">
        <v>90</v>
      </c>
      <c r="L17" s="8" t="s">
        <v>91</v>
      </c>
      <c r="M17" s="8" t="s">
        <v>32</v>
      </c>
      <c r="N17" s="8" t="s">
        <v>38</v>
      </c>
      <c r="O17" s="9">
        <v>11250.0</v>
      </c>
      <c r="P17" s="8"/>
    </row>
    <row r="18" ht="14.25" customHeight="1">
      <c r="A18" s="12" t="s">
        <v>92</v>
      </c>
      <c r="B18" s="8"/>
      <c r="C18" s="8"/>
      <c r="I18" s="8">
        <v>2.0</v>
      </c>
      <c r="J18" s="8" t="s">
        <v>93</v>
      </c>
      <c r="K18" s="8" t="s">
        <v>94</v>
      </c>
      <c r="L18" s="8" t="s">
        <v>25</v>
      </c>
      <c r="M18" s="8" t="s">
        <v>26</v>
      </c>
      <c r="N18" s="8" t="s">
        <v>57</v>
      </c>
      <c r="O18" s="9">
        <v>12000.0</v>
      </c>
      <c r="P18" s="8"/>
    </row>
    <row r="19" ht="14.25" customHeight="1">
      <c r="A19" s="12" t="s">
        <v>95</v>
      </c>
      <c r="B19" s="8"/>
      <c r="C19" s="8"/>
      <c r="I19" s="8">
        <v>4.0</v>
      </c>
      <c r="J19" s="8" t="s">
        <v>96</v>
      </c>
      <c r="K19" s="8" t="s">
        <v>97</v>
      </c>
      <c r="L19" s="8" t="s">
        <v>98</v>
      </c>
      <c r="M19" s="8" t="s">
        <v>50</v>
      </c>
      <c r="N19" s="8" t="s">
        <v>44</v>
      </c>
      <c r="O19" s="9">
        <v>12000.0</v>
      </c>
      <c r="P19" s="8"/>
    </row>
    <row r="20" ht="14.25" customHeight="1">
      <c r="A20" s="12" t="s">
        <v>99</v>
      </c>
      <c r="B20" s="8"/>
      <c r="C20" s="8"/>
      <c r="I20" s="8">
        <v>5.0</v>
      </c>
      <c r="J20" s="8" t="s">
        <v>100</v>
      </c>
      <c r="K20" s="8"/>
      <c r="L20" s="8" t="s">
        <v>25</v>
      </c>
      <c r="M20" s="8" t="s">
        <v>26</v>
      </c>
      <c r="N20" s="8" t="s">
        <v>33</v>
      </c>
      <c r="O20" s="9">
        <v>16250.0</v>
      </c>
      <c r="P20" s="8"/>
    </row>
    <row r="21" ht="14.25" customHeight="1">
      <c r="A21" s="12" t="s">
        <v>101</v>
      </c>
      <c r="B21" s="8"/>
      <c r="C21" s="8"/>
      <c r="I21" s="8">
        <v>13.0</v>
      </c>
      <c r="J21" s="8" t="s">
        <v>102</v>
      </c>
      <c r="K21" s="8" t="s">
        <v>94</v>
      </c>
      <c r="L21" s="8" t="s">
        <v>103</v>
      </c>
      <c r="M21" s="8" t="s">
        <v>50</v>
      </c>
      <c r="N21" s="8" t="s">
        <v>33</v>
      </c>
      <c r="O21" s="9">
        <v>16250.0</v>
      </c>
      <c r="P21" s="8"/>
    </row>
    <row r="22" ht="14.25" customHeight="1">
      <c r="A22" s="12" t="s">
        <v>104</v>
      </c>
      <c r="B22" s="8"/>
      <c r="C22" s="8"/>
    </row>
    <row r="23" ht="14.25" customHeight="1">
      <c r="A23" s="12" t="s">
        <v>105</v>
      </c>
      <c r="B23" s="8"/>
      <c r="C23" s="8"/>
    </row>
    <row r="24" ht="14.25" customHeight="1">
      <c r="A24" s="12" t="s">
        <v>106</v>
      </c>
      <c r="B24" s="8"/>
      <c r="C24" s="8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custom" allowBlank="1" showErrorMessage="1" sqref="O1">
      <formula1>ISNUMBER(O2)</formula1>
    </dataValidation>
    <dataValidation type="custom" allowBlank="1" showErrorMessage="1" sqref="A1:A11 J1:J21">
      <formula1>ISTEXT(A1)</formula1>
    </dataValidation>
    <dataValidation type="custom" allowBlank="1" showErrorMessage="1" sqref="O2:O21">
      <formula1>ISNUMBER(O2)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4" width="8.71"/>
    <col customWidth="1" min="5" max="5" width="11.14"/>
    <col customWidth="1" min="6" max="6" width="16.14"/>
    <col customWidth="1" min="7" max="26" width="8.71"/>
  </cols>
  <sheetData>
    <row r="1" ht="14.25" customHeight="1">
      <c r="A1" s="14" t="s">
        <v>107</v>
      </c>
      <c r="F1" s="14" t="s">
        <v>7</v>
      </c>
    </row>
    <row r="2" ht="14.25" customHeight="1">
      <c r="A2" s="15" t="s">
        <v>108</v>
      </c>
      <c r="B2" s="16"/>
      <c r="C2" s="16"/>
      <c r="D2" s="16"/>
      <c r="E2" s="16"/>
      <c r="F2" s="15" t="s">
        <v>74</v>
      </c>
    </row>
    <row r="3" ht="14.25" customHeight="1">
      <c r="A3" s="15" t="s">
        <v>109</v>
      </c>
      <c r="B3" s="16"/>
      <c r="C3" s="16"/>
      <c r="D3" s="16"/>
      <c r="E3" s="16"/>
      <c r="F3" s="15" t="s">
        <v>110</v>
      </c>
    </row>
    <row r="4" ht="14.25" customHeight="1">
      <c r="A4" s="15" t="s">
        <v>111</v>
      </c>
      <c r="B4" s="16"/>
      <c r="C4" s="16"/>
      <c r="D4" s="16"/>
      <c r="E4" s="16"/>
      <c r="F4" s="15" t="s">
        <v>112</v>
      </c>
    </row>
    <row r="5" ht="14.25" customHeight="1">
      <c r="A5" s="15" t="s">
        <v>113</v>
      </c>
      <c r="B5" s="16"/>
      <c r="C5" s="16"/>
      <c r="D5" s="16"/>
      <c r="E5" s="16"/>
      <c r="F5" s="15" t="s">
        <v>114</v>
      </c>
    </row>
    <row r="6" ht="14.25" customHeight="1">
      <c r="A6" s="15" t="s">
        <v>115</v>
      </c>
      <c r="B6" s="16"/>
      <c r="C6" s="16"/>
      <c r="D6" s="16"/>
      <c r="E6" s="16"/>
      <c r="F6" s="17" t="s">
        <v>116</v>
      </c>
    </row>
    <row r="7" ht="14.25" customHeight="1">
      <c r="A7" s="15" t="s">
        <v>117</v>
      </c>
      <c r="B7" s="16"/>
      <c r="C7" s="16"/>
      <c r="D7" s="16"/>
      <c r="E7" s="16"/>
      <c r="F7" s="15" t="s">
        <v>118</v>
      </c>
    </row>
    <row r="8" ht="14.25" customHeight="1">
      <c r="A8" s="15" t="s">
        <v>119</v>
      </c>
      <c r="B8" s="16"/>
      <c r="C8" s="16"/>
      <c r="D8" s="16"/>
      <c r="E8" s="16"/>
      <c r="F8" s="15" t="s">
        <v>120</v>
      </c>
    </row>
    <row r="9" ht="14.25" customHeight="1">
      <c r="A9" s="15" t="s">
        <v>121</v>
      </c>
      <c r="B9" s="16"/>
      <c r="C9" s="16"/>
      <c r="D9" s="16"/>
      <c r="E9" s="16"/>
      <c r="F9" s="15" t="s">
        <v>122</v>
      </c>
    </row>
    <row r="10" ht="14.25" customHeight="1">
      <c r="A10" s="15" t="s">
        <v>123</v>
      </c>
      <c r="B10" s="16"/>
      <c r="C10" s="16"/>
      <c r="D10" s="16"/>
      <c r="E10" s="16"/>
      <c r="F10" s="15" t="s">
        <v>124</v>
      </c>
    </row>
    <row r="11" ht="14.25" customHeight="1">
      <c r="A11" s="15" t="s">
        <v>125</v>
      </c>
      <c r="B11" s="16"/>
      <c r="C11" s="16"/>
      <c r="D11" s="16"/>
      <c r="E11" s="16"/>
      <c r="F11" s="15" t="s">
        <v>126</v>
      </c>
    </row>
    <row r="12" ht="14.25" customHeight="1">
      <c r="A12" s="15" t="s">
        <v>127</v>
      </c>
      <c r="B12" s="16"/>
      <c r="C12" s="16"/>
      <c r="D12" s="16"/>
      <c r="E12" s="16"/>
      <c r="F12" s="15" t="s">
        <v>128</v>
      </c>
    </row>
    <row r="13" ht="14.25" customHeight="1"/>
    <row r="14" ht="14.25" customHeight="1"/>
    <row r="15" ht="14.25" customHeight="1">
      <c r="A15" s="14" t="s">
        <v>107</v>
      </c>
    </row>
    <row r="16" ht="14.25" customHeight="1">
      <c r="A16" s="15" t="s">
        <v>129</v>
      </c>
    </row>
    <row r="17" ht="14.25" customHeight="1">
      <c r="A17" s="15" t="s">
        <v>130</v>
      </c>
    </row>
    <row r="18" ht="14.25" customHeight="1">
      <c r="A18" s="15" t="s">
        <v>131</v>
      </c>
    </row>
    <row r="19" ht="14.25" customHeight="1">
      <c r="A19" s="15" t="s">
        <v>132</v>
      </c>
    </row>
    <row r="20" ht="14.25" customHeight="1">
      <c r="A20" s="15" t="s">
        <v>133</v>
      </c>
    </row>
    <row r="21" ht="14.25" customHeight="1">
      <c r="A21" s="15" t="s">
        <v>134</v>
      </c>
    </row>
    <row r="22" ht="14.25" customHeight="1">
      <c r="A22" s="15" t="s">
        <v>135</v>
      </c>
    </row>
    <row r="23" ht="14.25" customHeight="1">
      <c r="A23" s="15" t="s">
        <v>136</v>
      </c>
    </row>
    <row r="24" ht="14.25" customHeight="1">
      <c r="A24" s="15" t="s">
        <v>137</v>
      </c>
    </row>
    <row r="25" ht="14.25" customHeight="1">
      <c r="A25" s="15" t="s">
        <v>138</v>
      </c>
    </row>
    <row r="26" ht="14.25" customHeight="1">
      <c r="A26" s="15" t="s">
        <v>139</v>
      </c>
    </row>
    <row r="27" ht="14.25" customHeight="1">
      <c r="A27" s="15" t="str">
        <f> SUBSTITUTE(A13,"-","")</f>
        <v/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custom" allowBlank="1" showErrorMessage="1" sqref="F1:F11">
      <formula1>ISTEXT(F1)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29"/>
    <col customWidth="1" min="2" max="2" width="11.43"/>
    <col customWidth="1" min="3" max="3" width="15.43"/>
    <col customWidth="1" min="4" max="4" width="14.57"/>
    <col customWidth="1" min="5" max="5" width="11.71"/>
    <col customWidth="1" min="6" max="6" width="11.29"/>
    <col customWidth="1" min="7" max="7" width="16.0"/>
    <col customWidth="1" min="8" max="8" width="14.71"/>
    <col customWidth="1" min="9" max="9" width="8.71"/>
    <col customWidth="1" min="10" max="11" width="11.86"/>
    <col customWidth="1" min="12" max="26" width="8.71"/>
  </cols>
  <sheetData>
    <row r="1" ht="14.25" customHeight="1">
      <c r="A1" s="18" t="s">
        <v>107</v>
      </c>
      <c r="B1" s="18" t="s">
        <v>140</v>
      </c>
      <c r="C1" s="18" t="s">
        <v>141</v>
      </c>
      <c r="D1" s="18" t="s">
        <v>142</v>
      </c>
      <c r="E1" s="18" t="s">
        <v>143</v>
      </c>
      <c r="F1" s="18" t="s">
        <v>144</v>
      </c>
      <c r="G1" s="18" t="s">
        <v>145</v>
      </c>
      <c r="H1" s="18" t="s">
        <v>146</v>
      </c>
    </row>
    <row r="2" ht="14.25" customHeight="1">
      <c r="A2" s="12">
        <v>34.0</v>
      </c>
      <c r="B2" s="12"/>
      <c r="C2" s="12"/>
      <c r="D2" s="12"/>
      <c r="E2" s="12"/>
      <c r="F2" s="12"/>
      <c r="G2" s="12"/>
      <c r="H2" s="12"/>
      <c r="K2" s="19"/>
    </row>
    <row r="3" ht="14.25" customHeight="1">
      <c r="A3" s="12">
        <v>54.0</v>
      </c>
      <c r="B3" s="12"/>
      <c r="C3" s="12"/>
      <c r="D3" s="12"/>
      <c r="E3" s="12"/>
      <c r="F3" s="12"/>
      <c r="G3" s="12"/>
      <c r="H3" s="12"/>
    </row>
    <row r="4" ht="14.25" customHeight="1">
      <c r="A4" s="12">
        <v>33.0</v>
      </c>
      <c r="B4" s="12"/>
      <c r="C4" s="12"/>
      <c r="D4" s="12"/>
      <c r="E4" s="12"/>
      <c r="F4" s="12"/>
      <c r="G4" s="12"/>
      <c r="H4" s="12"/>
    </row>
    <row r="5" ht="14.25" customHeight="1">
      <c r="A5" s="12">
        <v>55.0</v>
      </c>
      <c r="B5" s="12"/>
      <c r="C5" s="12"/>
      <c r="D5" s="12"/>
      <c r="E5" s="12"/>
      <c r="F5" s="12"/>
      <c r="G5" s="12"/>
      <c r="H5" s="12"/>
      <c r="K5" s="20"/>
    </row>
    <row r="6" ht="14.25" customHeight="1">
      <c r="A6" s="21">
        <f>TODAY()</f>
        <v>45646</v>
      </c>
      <c r="B6" s="12"/>
      <c r="C6" s="12"/>
      <c r="D6" s="12"/>
      <c r="E6" s="12"/>
      <c r="F6" s="12"/>
      <c r="G6" s="12"/>
      <c r="H6" s="12"/>
      <c r="K6" s="20"/>
    </row>
    <row r="7" ht="14.25" customHeight="1">
      <c r="A7" s="12" t="s">
        <v>147</v>
      </c>
      <c r="B7" s="12"/>
      <c r="C7" s="12"/>
      <c r="D7" s="12"/>
      <c r="E7" s="12"/>
      <c r="F7" s="12"/>
      <c r="G7" s="12"/>
      <c r="H7" s="12"/>
      <c r="K7" s="20"/>
    </row>
    <row r="8" ht="14.25" customHeight="1">
      <c r="A8" s="12">
        <v>23.0</v>
      </c>
      <c r="B8" s="12"/>
      <c r="C8" s="12"/>
      <c r="D8" s="12"/>
      <c r="E8" s="12"/>
      <c r="F8" s="12"/>
      <c r="G8" s="12"/>
      <c r="H8" s="12"/>
    </row>
    <row r="9" ht="14.25" customHeight="1">
      <c r="A9" s="12" t="s">
        <v>148</v>
      </c>
      <c r="B9" s="12"/>
      <c r="C9" s="12"/>
      <c r="D9" s="12"/>
      <c r="E9" s="12"/>
      <c r="F9" s="12"/>
      <c r="G9" s="12"/>
      <c r="H9" s="12"/>
    </row>
    <row r="10" ht="14.25" customHeight="1">
      <c r="A10" s="12" t="b">
        <v>1</v>
      </c>
      <c r="B10" s="12"/>
      <c r="C10" s="12"/>
      <c r="D10" s="12"/>
      <c r="E10" s="12"/>
      <c r="F10" s="12"/>
      <c r="G10" s="12"/>
      <c r="H10" s="12"/>
    </row>
    <row r="11" ht="14.25" customHeight="1">
      <c r="A11" s="12">
        <v>89.0</v>
      </c>
      <c r="B11" s="12"/>
      <c r="C11" s="12"/>
      <c r="D11" s="12"/>
      <c r="E11" s="12"/>
      <c r="F11" s="12"/>
      <c r="G11" s="12"/>
      <c r="H11" s="12"/>
    </row>
    <row r="12" ht="14.25" customHeight="1">
      <c r="A12" s="12">
        <v>23.0</v>
      </c>
      <c r="B12" s="12"/>
      <c r="C12" s="12"/>
      <c r="D12" s="12"/>
      <c r="E12" s="12"/>
      <c r="F12" s="12"/>
      <c r="G12" s="12"/>
      <c r="H12" s="12"/>
    </row>
    <row r="13" ht="14.25" customHeight="1">
      <c r="A13" s="12" t="b">
        <v>0</v>
      </c>
      <c r="B13" s="12"/>
      <c r="C13" s="12"/>
      <c r="D13" s="12"/>
      <c r="E13" s="12"/>
      <c r="F13" s="12"/>
      <c r="G13" s="12"/>
      <c r="H13" s="12"/>
    </row>
    <row r="14" ht="14.25" customHeight="1">
      <c r="A14" s="12">
        <v>52.0</v>
      </c>
      <c r="B14" s="12"/>
      <c r="C14" s="12"/>
      <c r="D14" s="12"/>
      <c r="E14" s="12"/>
      <c r="F14" s="12"/>
      <c r="G14" s="12"/>
      <c r="H14" s="12"/>
    </row>
    <row r="15" ht="14.25" customHeight="1"/>
    <row r="16" ht="14.25" customHeight="1">
      <c r="B16" s="22" t="str">
        <f t="shared" ref="B16:H16" si="1"> FORMULATEXT(B2)</f>
        <v>#N/A</v>
      </c>
      <c r="C16" s="22" t="str">
        <f t="shared" si="1"/>
        <v>#N/A</v>
      </c>
      <c r="D16" s="22" t="str">
        <f t="shared" si="1"/>
        <v>#N/A</v>
      </c>
      <c r="E16" s="22" t="str">
        <f t="shared" si="1"/>
        <v>#N/A</v>
      </c>
      <c r="F16" s="22" t="str">
        <f t="shared" si="1"/>
        <v>#N/A</v>
      </c>
      <c r="G16" s="22" t="str">
        <f t="shared" si="1"/>
        <v>#N/A</v>
      </c>
      <c r="H16" s="22" t="str">
        <f t="shared" si="1"/>
        <v>#N/A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71"/>
    <col customWidth="1" min="3" max="3" width="8.71"/>
    <col customWidth="1" min="4" max="4" width="12.29"/>
    <col customWidth="1" min="5" max="26" width="8.71"/>
  </cols>
  <sheetData>
    <row r="1" ht="14.25" customHeight="1"/>
    <row r="2" ht="14.25" customHeight="1"/>
    <row r="3" ht="14.25" customHeight="1">
      <c r="B3" s="10" t="s">
        <v>149</v>
      </c>
      <c r="C3" s="10" t="s">
        <v>150</v>
      </c>
      <c r="D3" s="10" t="s">
        <v>151</v>
      </c>
      <c r="E3" s="10" t="s">
        <v>152</v>
      </c>
    </row>
    <row r="4" ht="14.25" customHeight="1">
      <c r="B4" s="8" t="s">
        <v>153</v>
      </c>
      <c r="C4" s="8">
        <v>23.0</v>
      </c>
      <c r="D4" s="8">
        <v>6.7</v>
      </c>
      <c r="E4" s="8"/>
    </row>
    <row r="5" ht="14.25" customHeight="1">
      <c r="B5" s="8" t="s">
        <v>154</v>
      </c>
      <c r="C5" s="8">
        <v>443.0</v>
      </c>
      <c r="D5" s="8">
        <v>4.5</v>
      </c>
      <c r="E5" s="8"/>
    </row>
    <row r="6" ht="14.25" customHeight="1">
      <c r="B6" s="8" t="s">
        <v>155</v>
      </c>
      <c r="C6" s="8">
        <v>454.0</v>
      </c>
      <c r="D6" s="8">
        <v>6.7</v>
      </c>
      <c r="E6" s="8"/>
    </row>
    <row r="7" ht="14.25" customHeight="1">
      <c r="B7" s="8" t="s">
        <v>156</v>
      </c>
      <c r="C7" s="8">
        <v>65.0</v>
      </c>
      <c r="D7" s="8">
        <v>8.2</v>
      </c>
      <c r="E7" s="8"/>
    </row>
    <row r="8" ht="14.25" customHeight="1">
      <c r="B8" s="8" t="s">
        <v>157</v>
      </c>
      <c r="C8" s="8">
        <v>34.0</v>
      </c>
      <c r="D8" s="8">
        <v>5.5</v>
      </c>
      <c r="E8" s="8"/>
    </row>
    <row r="9" ht="14.25" customHeight="1">
      <c r="B9" s="8" t="s">
        <v>158</v>
      </c>
      <c r="C9" s="8">
        <v>45.0</v>
      </c>
      <c r="D9" s="8">
        <v>3.8</v>
      </c>
      <c r="E9" s="8"/>
    </row>
    <row r="10" ht="14.25" customHeight="1">
      <c r="B10" s="8" t="s">
        <v>159</v>
      </c>
      <c r="C10" s="8">
        <v>32.0</v>
      </c>
      <c r="D10" s="8">
        <v>7.4</v>
      </c>
      <c r="E10" s="8"/>
    </row>
    <row r="11" ht="14.25" customHeight="1">
      <c r="D11" s="10" t="s">
        <v>160</v>
      </c>
      <c r="F11" s="22" t="str">
        <f> FORMULATEXT(E11)</f>
        <v>#N/A</v>
      </c>
    </row>
    <row r="12" ht="14.25" customHeight="1"/>
    <row r="13" ht="14.25" customHeight="1">
      <c r="D13" s="10" t="s">
        <v>160</v>
      </c>
      <c r="F13" s="22" t="str">
        <f> FORMULATEXT(E13)</f>
        <v>#N/A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71"/>
    <col customWidth="1" min="2" max="2" width="15.14"/>
    <col customWidth="1" min="3" max="3" width="10.57"/>
    <col customWidth="1" min="4" max="4" width="9.57"/>
    <col customWidth="1" min="5" max="5" width="8.71"/>
    <col customWidth="1" min="6" max="6" width="11.43"/>
    <col customWidth="1" min="7" max="7" width="11.29"/>
    <col customWidth="1" min="8" max="8" width="8.71"/>
    <col customWidth="1" min="9" max="9" width="12.43"/>
    <col customWidth="1" min="10" max="10" width="8.71"/>
    <col customWidth="1" min="11" max="11" width="22.71"/>
    <col customWidth="1" min="12" max="26" width="8.71"/>
  </cols>
  <sheetData>
    <row r="1" ht="14.25" customHeight="1">
      <c r="A1" s="23" t="s">
        <v>6</v>
      </c>
      <c r="B1" s="23" t="s">
        <v>7</v>
      </c>
      <c r="C1" s="23" t="s">
        <v>8</v>
      </c>
      <c r="D1" s="23" t="s">
        <v>9</v>
      </c>
      <c r="E1" s="23" t="s">
        <v>10</v>
      </c>
      <c r="F1" s="23" t="s">
        <v>11</v>
      </c>
      <c r="G1" s="24" t="s">
        <v>12</v>
      </c>
      <c r="H1" s="25"/>
    </row>
    <row r="2" ht="14.25" customHeight="1">
      <c r="A2" s="12">
        <v>1.0</v>
      </c>
      <c r="B2" s="12" t="s">
        <v>74</v>
      </c>
      <c r="C2" s="12" t="s">
        <v>75</v>
      </c>
      <c r="D2" s="12" t="s">
        <v>31</v>
      </c>
      <c r="E2" s="12" t="s">
        <v>32</v>
      </c>
      <c r="F2" s="12" t="s">
        <v>33</v>
      </c>
      <c r="G2" s="26">
        <v>10000.0</v>
      </c>
    </row>
    <row r="3" ht="14.25" customHeight="1">
      <c r="A3" s="12">
        <v>2.0</v>
      </c>
      <c r="B3" s="12" t="s">
        <v>93</v>
      </c>
      <c r="C3" s="12" t="s">
        <v>94</v>
      </c>
      <c r="D3" s="12" t="s">
        <v>25</v>
      </c>
      <c r="E3" s="12" t="s">
        <v>26</v>
      </c>
      <c r="F3" s="12" t="s">
        <v>57</v>
      </c>
      <c r="G3" s="26">
        <v>12000.0</v>
      </c>
    </row>
    <row r="4" ht="14.25" customHeight="1">
      <c r="A4" s="12">
        <v>3.0</v>
      </c>
      <c r="B4" s="12" t="s">
        <v>84</v>
      </c>
      <c r="C4" s="12" t="s">
        <v>62</v>
      </c>
      <c r="D4" s="12"/>
      <c r="E4" s="12" t="s">
        <v>26</v>
      </c>
      <c r="F4" s="12" t="s">
        <v>20</v>
      </c>
      <c r="G4" s="26">
        <v>11250.0</v>
      </c>
      <c r="I4" s="27"/>
      <c r="K4" s="22" t="str">
        <f t="shared" ref="K4:K5" si="1"> FORMULATEXT(I4)</f>
        <v>#N/A</v>
      </c>
    </row>
    <row r="5" ht="14.25" customHeight="1">
      <c r="A5" s="12">
        <v>4.0</v>
      </c>
      <c r="B5" s="12" t="s">
        <v>96</v>
      </c>
      <c r="C5" s="12" t="s">
        <v>97</v>
      </c>
      <c r="D5" s="12" t="s">
        <v>98</v>
      </c>
      <c r="E5" s="12" t="s">
        <v>50</v>
      </c>
      <c r="F5" s="12" t="s">
        <v>44</v>
      </c>
      <c r="G5" s="26">
        <v>12000.0</v>
      </c>
      <c r="I5" s="28"/>
      <c r="K5" s="22" t="str">
        <f t="shared" si="1"/>
        <v>#N/A</v>
      </c>
    </row>
    <row r="6" ht="14.25" customHeight="1">
      <c r="A6" s="12">
        <v>5.0</v>
      </c>
      <c r="B6" s="12" t="s">
        <v>100</v>
      </c>
      <c r="C6" s="12"/>
      <c r="D6" s="12" t="s">
        <v>25</v>
      </c>
      <c r="E6" s="12" t="s">
        <v>26</v>
      </c>
      <c r="F6" s="12" t="s">
        <v>33</v>
      </c>
      <c r="G6" s="26">
        <v>16250.0</v>
      </c>
    </row>
    <row r="7" ht="14.25" customHeight="1">
      <c r="A7" s="12">
        <v>6.0</v>
      </c>
      <c r="B7" s="12" t="s">
        <v>54</v>
      </c>
      <c r="C7" s="12" t="s">
        <v>55</v>
      </c>
      <c r="D7" s="12" t="s">
        <v>56</v>
      </c>
      <c r="E7" s="12" t="s">
        <v>19</v>
      </c>
      <c r="F7" s="12" t="s">
        <v>57</v>
      </c>
      <c r="G7" s="26">
        <v>6400.0</v>
      </c>
      <c r="I7" s="15" t="s">
        <v>161</v>
      </c>
    </row>
    <row r="8" ht="14.25" customHeight="1">
      <c r="A8" s="12">
        <v>7.0</v>
      </c>
      <c r="B8" s="12" t="s">
        <v>16</v>
      </c>
      <c r="C8" s="12" t="s">
        <v>17</v>
      </c>
      <c r="D8" s="12" t="s">
        <v>18</v>
      </c>
      <c r="E8" s="12" t="s">
        <v>19</v>
      </c>
      <c r="F8" s="12" t="s">
        <v>20</v>
      </c>
      <c r="G8" s="26">
        <v>4500.0</v>
      </c>
    </row>
    <row r="9" ht="14.25" customHeight="1">
      <c r="A9" s="12">
        <v>8.0</v>
      </c>
      <c r="B9" s="12" t="s">
        <v>42</v>
      </c>
      <c r="C9" s="12" t="s">
        <v>43</v>
      </c>
      <c r="D9" s="12" t="s">
        <v>18</v>
      </c>
      <c r="E9" s="12" t="s">
        <v>19</v>
      </c>
      <c r="F9" s="12" t="s">
        <v>44</v>
      </c>
      <c r="G9" s="26">
        <v>6275.0</v>
      </c>
      <c r="I9" s="28"/>
      <c r="K9" s="22" t="str">
        <f t="shared" ref="K9:K11" si="2"> FORMULATEXT(I9)</f>
        <v>#N/A</v>
      </c>
    </row>
    <row r="10" ht="14.25" customHeight="1">
      <c r="A10" s="12">
        <v>9.0</v>
      </c>
      <c r="B10" s="12" t="s">
        <v>29</v>
      </c>
      <c r="C10" s="12" t="s">
        <v>30</v>
      </c>
      <c r="D10" s="12" t="s">
        <v>31</v>
      </c>
      <c r="E10" s="12" t="s">
        <v>32</v>
      </c>
      <c r="F10" s="12" t="s">
        <v>33</v>
      </c>
      <c r="G10" s="26">
        <v>6250.0</v>
      </c>
      <c r="I10" s="28"/>
      <c r="K10" s="22" t="str">
        <f t="shared" si="2"/>
        <v>#N/A</v>
      </c>
    </row>
    <row r="11" ht="14.25" customHeight="1">
      <c r="A11" s="12">
        <v>10.0</v>
      </c>
      <c r="B11" s="12" t="s">
        <v>66</v>
      </c>
      <c r="C11" s="12"/>
      <c r="D11" s="12" t="s">
        <v>67</v>
      </c>
      <c r="E11" s="12" t="s">
        <v>50</v>
      </c>
      <c r="F11" s="12" t="s">
        <v>57</v>
      </c>
      <c r="G11" s="26">
        <v>8750.0</v>
      </c>
      <c r="I11" s="28"/>
      <c r="K11" s="22" t="str">
        <f t="shared" si="2"/>
        <v>#N/A</v>
      </c>
    </row>
    <row r="12" ht="14.25" customHeight="1">
      <c r="A12" s="12">
        <v>11.0</v>
      </c>
      <c r="B12" s="12" t="s">
        <v>86</v>
      </c>
      <c r="C12" s="12" t="s">
        <v>87</v>
      </c>
      <c r="D12" s="12" t="s">
        <v>67</v>
      </c>
      <c r="E12" s="12" t="s">
        <v>50</v>
      </c>
      <c r="F12" s="12" t="s">
        <v>20</v>
      </c>
      <c r="G12" s="26">
        <v>11250.0</v>
      </c>
    </row>
    <row r="13" ht="14.25" customHeight="1">
      <c r="A13" s="12">
        <v>12.0</v>
      </c>
      <c r="B13" s="12" t="s">
        <v>77</v>
      </c>
      <c r="C13" s="12" t="s">
        <v>78</v>
      </c>
      <c r="D13" s="12" t="s">
        <v>49</v>
      </c>
      <c r="E13" s="12" t="s">
        <v>50</v>
      </c>
      <c r="F13" s="12" t="s">
        <v>44</v>
      </c>
      <c r="G13" s="26">
        <v>10000.0</v>
      </c>
    </row>
    <row r="14" ht="14.25" customHeight="1">
      <c r="A14" s="12">
        <v>13.0</v>
      </c>
      <c r="B14" s="12" t="s">
        <v>102</v>
      </c>
      <c r="C14" s="12" t="s">
        <v>94</v>
      </c>
      <c r="D14" s="12" t="s">
        <v>103</v>
      </c>
      <c r="E14" s="12" t="s">
        <v>50</v>
      </c>
      <c r="F14" s="12" t="s">
        <v>33</v>
      </c>
      <c r="G14" s="26">
        <v>16250.0</v>
      </c>
    </row>
    <row r="15" ht="14.25" customHeight="1">
      <c r="A15" s="12">
        <v>14.0</v>
      </c>
      <c r="B15" s="12" t="s">
        <v>61</v>
      </c>
      <c r="C15" s="12" t="s">
        <v>62</v>
      </c>
      <c r="D15" s="12" t="s">
        <v>49</v>
      </c>
      <c r="E15" s="12" t="s">
        <v>50</v>
      </c>
      <c r="F15" s="12" t="s">
        <v>57</v>
      </c>
      <c r="G15" s="26">
        <v>6400.0</v>
      </c>
    </row>
    <row r="16" ht="14.25" customHeight="1">
      <c r="A16" s="12">
        <v>15.0</v>
      </c>
      <c r="B16" s="12" t="s">
        <v>23</v>
      </c>
      <c r="C16" s="12" t="s">
        <v>24</v>
      </c>
      <c r="D16" s="12" t="s">
        <v>25</v>
      </c>
      <c r="E16" s="12" t="s">
        <v>26</v>
      </c>
      <c r="F16" s="12" t="s">
        <v>20</v>
      </c>
      <c r="G16" s="26">
        <v>4500.0</v>
      </c>
    </row>
    <row r="17" ht="14.25" customHeight="1">
      <c r="A17" s="12">
        <v>16.0</v>
      </c>
      <c r="B17" s="12" t="s">
        <v>48</v>
      </c>
      <c r="C17" s="12"/>
      <c r="D17" s="12" t="s">
        <v>49</v>
      </c>
      <c r="E17" s="12" t="s">
        <v>50</v>
      </c>
      <c r="F17" s="12" t="s">
        <v>44</v>
      </c>
      <c r="G17" s="26">
        <v>6275.0</v>
      </c>
    </row>
    <row r="18" ht="14.25" customHeight="1">
      <c r="A18" s="12">
        <v>17.0</v>
      </c>
      <c r="B18" s="12" t="s">
        <v>36</v>
      </c>
      <c r="C18" s="12" t="s">
        <v>37</v>
      </c>
      <c r="D18" s="12" t="s">
        <v>31</v>
      </c>
      <c r="E18" s="12" t="s">
        <v>32</v>
      </c>
      <c r="F18" s="12" t="s">
        <v>38</v>
      </c>
      <c r="G18" s="26">
        <v>6250.0</v>
      </c>
    </row>
    <row r="19" ht="14.25" customHeight="1">
      <c r="A19" s="12">
        <v>18.0</v>
      </c>
      <c r="B19" s="12" t="s">
        <v>71</v>
      </c>
      <c r="C19" s="12" t="s">
        <v>72</v>
      </c>
      <c r="D19" s="12" t="s">
        <v>31</v>
      </c>
      <c r="E19" s="12" t="s">
        <v>32</v>
      </c>
      <c r="F19" s="12" t="s">
        <v>44</v>
      </c>
      <c r="G19" s="26">
        <v>8750.0</v>
      </c>
    </row>
    <row r="20" ht="14.25" customHeight="1">
      <c r="A20" s="12">
        <v>19.0</v>
      </c>
      <c r="B20" s="12" t="s">
        <v>89</v>
      </c>
      <c r="C20" s="12" t="s">
        <v>90</v>
      </c>
      <c r="D20" s="12" t="s">
        <v>91</v>
      </c>
      <c r="E20" s="12" t="s">
        <v>32</v>
      </c>
      <c r="F20" s="12" t="s">
        <v>38</v>
      </c>
      <c r="G20" s="26">
        <v>11250.0</v>
      </c>
    </row>
    <row r="21" ht="14.25" customHeight="1">
      <c r="A21" s="12">
        <v>20.0</v>
      </c>
      <c r="B21" s="12" t="s">
        <v>80</v>
      </c>
      <c r="C21" s="12" t="s">
        <v>81</v>
      </c>
      <c r="D21" s="12" t="s">
        <v>82</v>
      </c>
      <c r="E21" s="12" t="s">
        <v>26</v>
      </c>
      <c r="F21" s="12" t="s">
        <v>33</v>
      </c>
      <c r="G21" s="26">
        <v>10000.0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custom" allowBlank="1" showErrorMessage="1" sqref="G1">
      <formula1>ISNUMBER(G2)</formula1>
    </dataValidation>
    <dataValidation type="custom" allowBlank="1" showErrorMessage="1" sqref="B1:B21">
      <formula1>ISTEXT(B1)</formula1>
    </dataValidation>
    <dataValidation type="custom" allowBlank="1" showErrorMessage="1" sqref="G2:G21">
      <formula1>ISNUMBER(G2)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2024-05-23T13:04:39Z</dcterms:created>
  <dc:creator>Neha Tadam</dc:creator>
</cp:coreProperties>
</file>